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artklar\Downloads\"/>
    </mc:Choice>
  </mc:AlternateContent>
  <xr:revisionPtr revIDLastSave="0" documentId="13_ncr:1_{0EB7C853-0DF7-459C-832F-111466E42132}" xr6:coauthVersionLast="47" xr6:coauthVersionMax="47" xr10:uidLastSave="{00000000-0000-0000-0000-000000000000}"/>
  <bookViews>
    <workbookView xWindow="-110" yWindow="-110" windowWidth="25820" windowHeight="15500" activeTab="9" xr2:uid="{00000000-000D-0000-FFFF-FFFF00000000}"/>
  </bookViews>
  <sheets>
    <sheet name="Project Overview" sheetId="1" r:id="rId1"/>
    <sheet name="Extract – Control Panel" sheetId="2" r:id="rId2"/>
    <sheet name="Extract – Imported Raw Data" sheetId="3" r:id="rId3"/>
    <sheet name="Extract-Raw Data Overview" sheetId="4" r:id="rId4"/>
    <sheet name="Transform Encoding – Contr. Pa." sheetId="5" r:id="rId5"/>
    <sheet name="Transform Encoding Repaired" sheetId="6" r:id="rId6"/>
    <sheet name="Transform – Business Rules" sheetId="7" r:id="rId7"/>
    <sheet name="Transform – SingleSourceTruth" sheetId="8" r:id="rId8"/>
    <sheet name="Summary" sheetId="9" r:id="rId9"/>
    <sheet name="Load" sheetId="16" r:id="rId10"/>
    <sheet name="Project Findings" sheetId="17" r:id="rId11"/>
    <sheet name="Load – Fulfillment Orders" sheetId="10" r:id="rId12"/>
    <sheet name="Load – Product A" sheetId="11" r:id="rId13"/>
    <sheet name="Load – Product B" sheetId="12" r:id="rId14"/>
    <sheet name="Load – Product C" sheetId="13" r:id="rId15"/>
    <sheet name="Load – Product D" sheetId="14" r:id="rId16"/>
    <sheet name="Load – Product E" sheetId="15" r:id="rId17"/>
  </sheets>
  <definedNames>
    <definedName name="_xlnm._FilterDatabase" localSheetId="11" hidden="1">'Load – Fulfillment Orders'!$A$5:$V$5</definedName>
    <definedName name="_xlnm._FilterDatabase" localSheetId="12" hidden="1">'Load – Product A'!$A$5:$V$5</definedName>
    <definedName name="_xlnm._FilterDatabase" localSheetId="13" hidden="1">'Load – Product B'!$A$5:$V$5</definedName>
    <definedName name="_xlnm._FilterDatabase" localSheetId="14" hidden="1">'Load – Product C'!$A$5:$V$5</definedName>
    <definedName name="_xlnm._FilterDatabase" localSheetId="15" hidden="1">'Load – Product D'!$A$5:$V$5</definedName>
    <definedName name="_xlnm._FilterDatabase" localSheetId="16" hidden="1">'Load – Product E'!$A$5:$V$5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5" l="1" a="1"/>
  <c r="A6" i="14" a="1"/>
  <c r="A6" i="13" a="1"/>
  <c r="A6" i="12" a="1"/>
  <c r="A6" i="11" a="1"/>
  <c r="A6" i="10" a="1"/>
  <c r="C18" i="16"/>
  <c r="B37" i="9"/>
  <c r="B36" i="9"/>
  <c r="B35" i="9"/>
  <c r="B34" i="9"/>
  <c r="B33" i="9"/>
  <c r="B19" i="9"/>
  <c r="B18" i="9"/>
  <c r="B17" i="9"/>
  <c r="B16" i="9"/>
  <c r="B15" i="9"/>
  <c r="E6" i="9"/>
  <c r="B6" i="9"/>
  <c r="X4" i="9"/>
  <c r="X3" i="9"/>
  <c r="X2" i="9"/>
  <c r="B39" i="9" l="1"/>
  <c r="D23" i="9"/>
  <c r="D39" i="9"/>
  <c r="C37" i="9"/>
  <c r="C36" i="9"/>
  <c r="C35" i="9"/>
  <c r="C34" i="9"/>
  <c r="G8" i="9"/>
  <c r="C33" i="9"/>
  <c r="D8" i="9"/>
  <c r="B23" i="9"/>
  <c r="D22" i="9"/>
  <c r="C18" i="9"/>
  <c r="C16" i="9"/>
  <c r="A8" i="9"/>
  <c r="X5" i="9"/>
  <c r="J8" i="9" s="1"/>
  <c r="B22" i="9"/>
  <c r="C19" i="9"/>
  <c r="C17" i="9"/>
  <c r="C15" i="9"/>
  <c r="F23" i="9" l="1"/>
  <c r="F39" i="9"/>
  <c r="F2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<sst xmlns="http://schemas.openxmlformats.org/spreadsheetml/2006/main" count="5517" uniqueCount="766">
  <si>
    <t>OrderID</t>
  </si>
  <si>
    <t>OrderValidationStatus</t>
  </si>
  <si>
    <t>FirstName</t>
  </si>
  <si>
    <t>LastName</t>
  </si>
  <si>
    <t>Email</t>
  </si>
  <si>
    <t>Street</t>
  </si>
  <si>
    <t>HouseNumber</t>
  </si>
  <si>
    <t>PostalCode</t>
  </si>
  <si>
    <t>City</t>
  </si>
  <si>
    <t>Country</t>
  </si>
  <si>
    <t>SelectedProduct</t>
  </si>
  <si>
    <t>SubmissionDate</t>
  </si>
  <si>
    <t>AnalyticsConsent</t>
  </si>
  <si>
    <t>AgeGroup</t>
  </si>
  <si>
    <t>Gender</t>
  </si>
  <si>
    <t>ProductUsageFrequency</t>
  </si>
  <si>
    <t>Valid</t>
  </si>
  <si>
    <t>Anna</t>
  </si>
  <si>
    <t>Müller</t>
  </si>
  <si>
    <t>anna.mueller@example.com</t>
  </si>
  <si>
    <t>Schillerstraße</t>
  </si>
  <si>
    <t>18</t>
  </si>
  <si>
    <t>80331</t>
  </si>
  <si>
    <t>München</t>
  </si>
  <si>
    <t>Germany</t>
  </si>
  <si>
    <t>Product A</t>
  </si>
  <si>
    <t>2026-05-07</t>
  </si>
  <si>
    <t>Yes</t>
  </si>
  <si>
    <t>35-44</t>
  </si>
  <si>
    <t>Male</t>
  </si>
  <si>
    <t>Rarely</t>
  </si>
  <si>
    <t>Invalid</t>
  </si>
  <si>
    <t>Lukas</t>
  </si>
  <si>
    <t>Weiß</t>
  </si>
  <si>
    <t>lukas.weiss@example.com</t>
  </si>
  <si>
    <t>Goethestraße</t>
  </si>
  <si>
    <t>7</t>
  </si>
  <si>
    <t>50667</t>
  </si>
  <si>
    <t>Köln</t>
  </si>
  <si>
    <t>Product C</t>
  </si>
  <si>
    <t>2026-05-14</t>
  </si>
  <si>
    <t>55-64</t>
  </si>
  <si>
    <t>Diverse</t>
  </si>
  <si>
    <t>Occasionally</t>
  </si>
  <si>
    <t>anna.mueller.history2@example.com</t>
  </si>
  <si>
    <t>Lindenstraße</t>
  </si>
  <si>
    <t>12</t>
  </si>
  <si>
    <t>Product D</t>
  </si>
  <si>
    <t>2026-05-31</t>
  </si>
  <si>
    <t>Schillerstrasse</t>
  </si>
  <si>
    <t>Product B</t>
  </si>
  <si>
    <t>2026-09-02</t>
  </si>
  <si>
    <t>Goethestrasse</t>
  </si>
  <si>
    <t>2026-09-03</t>
  </si>
  <si>
    <t>Sofia</t>
  </si>
  <si>
    <t>Jäger</t>
  </si>
  <si>
    <t>sofia.jaeger84@example.com</t>
  </si>
  <si>
    <t>Rosenstraße</t>
  </si>
  <si>
    <t>12a</t>
  </si>
  <si>
    <t>40213</t>
  </si>
  <si>
    <t>Düsseldorf</t>
  </si>
  <si>
    <t>2026-09-04</t>
  </si>
  <si>
    <t>No</t>
  </si>
  <si>
    <t>sofia.jaeger85@example.com</t>
  </si>
  <si>
    <t>Rosenstrasse</t>
  </si>
  <si>
    <t>12 A</t>
  </si>
  <si>
    <t>2026-09-05</t>
  </si>
  <si>
    <t>Prefer not to say</t>
  </si>
  <si>
    <t>Several times per week</t>
  </si>
  <si>
    <t>sofia.jaeger88@example.com</t>
  </si>
  <si>
    <t>Rosenstr.</t>
  </si>
  <si>
    <t>12A</t>
  </si>
  <si>
    <t>2026-09-01</t>
  </si>
  <si>
    <t>Female</t>
  </si>
  <si>
    <t>Daily</t>
  </si>
  <si>
    <t>Miriam</t>
  </si>
  <si>
    <t>König</t>
  </si>
  <si>
    <t>miriam.koenig@example.com</t>
  </si>
  <si>
    <t>Mariahilfer Straße</t>
  </si>
  <si>
    <t>22</t>
  </si>
  <si>
    <t>1060</t>
  </si>
  <si>
    <t>Wien</t>
  </si>
  <si>
    <t>Austria</t>
  </si>
  <si>
    <t>Thomas</t>
  </si>
  <si>
    <t>Berger</t>
  </si>
  <si>
    <t>thomas.berger@example.com</t>
  </si>
  <si>
    <t>Königsstraße</t>
  </si>
  <si>
    <t>4A</t>
  </si>
  <si>
    <t>70173</t>
  </si>
  <si>
    <t>Stuttgart</t>
  </si>
  <si>
    <t>Product E</t>
  </si>
  <si>
    <t>UTF-8 / Windows-1252 Encoding Example</t>
  </si>
  <si>
    <t>MÃ¼ller</t>
  </si>
  <si>
    <t>KÃ¶ln</t>
  </si>
  <si>
    <t>DÃ¼sseldorf</t>
  </si>
  <si>
    <t>Bärenstraße</t>
  </si>
  <si>
    <t>BÃ¤renstraÃŸe</t>
  </si>
  <si>
    <t>Batch ID</t>
  </si>
  <si>
    <t>2026-W36</t>
  </si>
  <si>
    <t>Batch Start OrderID</t>
  </si>
  <si>
    <t>Encoding Repair</t>
  </si>
  <si>
    <t>Input Table</t>
  </si>
  <si>
    <t>Output Table</t>
  </si>
  <si>
    <t>Raw value</t>
  </si>
  <si>
    <t>Corrected value</t>
  </si>
  <si>
    <t>Wagner</t>
  </si>
  <si>
    <t>thomas.wagner1@example.com</t>
  </si>
  <si>
    <t>BergstraÃe</t>
  </si>
  <si>
    <t>Hannover</t>
  </si>
  <si>
    <t>Laura</t>
  </si>
  <si>
    <t>FrÃ¶hlich</t>
  </si>
  <si>
    <t>laura.froehlich2@example.com</t>
  </si>
  <si>
    <t>LessingstraÃe</t>
  </si>
  <si>
    <t>Max</t>
  </si>
  <si>
    <t>Ãzdemir</t>
  </si>
  <si>
    <t>max.oezdemir3@example.com</t>
  </si>
  <si>
    <t>SeestraÃe</t>
  </si>
  <si>
    <t>Freiburg</t>
  </si>
  <si>
    <t>Eva</t>
  </si>
  <si>
    <t>Schulz</t>
  </si>
  <si>
    <t>eva.schulz4@example.com</t>
  </si>
  <si>
    <t>BÃ¤renstraÃe</t>
  </si>
  <si>
    <t>WÃ¼rzburg</t>
  </si>
  <si>
    <t>KÃ¶nigsstraÃe</t>
  </si>
  <si>
    <t>4a</t>
  </si>
  <si>
    <t>Nina</t>
  </si>
  <si>
    <t>SchrÃ¶der</t>
  </si>
  <si>
    <t>nina.schroeder6@example.com</t>
  </si>
  <si>
    <t>RosenstraÃe</t>
  </si>
  <si>
    <t>Bonn</t>
  </si>
  <si>
    <t>SchillerstraÃe</t>
  </si>
  <si>
    <t>MÃ¼nchen</t>
  </si>
  <si>
    <t>Marlene</t>
  </si>
  <si>
    <t>Pohl</t>
  </si>
  <si>
    <t>marlene.pohl8@example.com</t>
  </si>
  <si>
    <t>BirkenstraÃe</t>
  </si>
  <si>
    <t>Dresden</t>
  </si>
  <si>
    <t>Mehmet</t>
  </si>
  <si>
    <t>BÃ¶hm</t>
  </si>
  <si>
    <t>mehmet.boehm9@example.com</t>
  </si>
  <si>
    <t>JÃ¤gerstraÃe</t>
  </si>
  <si>
    <t>SaarbrÃ¼cken</t>
  </si>
  <si>
    <t>Lea</t>
  </si>
  <si>
    <t>SchÃ¤fer</t>
  </si>
  <si>
    <t>lea.schaefer10@example.com</t>
  </si>
  <si>
    <t>Hamburg</t>
  </si>
  <si>
    <t>Noah</t>
  </si>
  <si>
    <t>WeiÃ</t>
  </si>
  <si>
    <t>noah.weiss11@example.com</t>
  </si>
  <si>
    <t>BahnhofstraÃe</t>
  </si>
  <si>
    <t>LÃ¼beck</t>
  </si>
  <si>
    <t>Klara</t>
  </si>
  <si>
    <t>Becker</t>
  </si>
  <si>
    <t>klara.becker12@example.com</t>
  </si>
  <si>
    <t>SonnenstraÃe</t>
  </si>
  <si>
    <t>Bremen</t>
  </si>
  <si>
    <t>BÃ¤r</t>
  </si>
  <si>
    <t>lukas.baer13@example.com</t>
  </si>
  <si>
    <t>FeldstraÃe</t>
  </si>
  <si>
    <t>GoethestraÃe</t>
  </si>
  <si>
    <t>Emil</t>
  </si>
  <si>
    <t>KrÃ¤mer</t>
  </si>
  <si>
    <t>emil.kraemer15@example.com</t>
  </si>
  <si>
    <t>HauptstraÃe</t>
  </si>
  <si>
    <t>NÃ¼rnberg</t>
  </si>
  <si>
    <t>Sarah</t>
  </si>
  <si>
    <t>Zimmermann</t>
  </si>
  <si>
    <t>sarah.zimmermann16@example.com</t>
  </si>
  <si>
    <t>WaldstraÃe</t>
  </si>
  <si>
    <t>Regensburg</t>
  </si>
  <si>
    <t>Moritz</t>
  </si>
  <si>
    <t>moritz.berger17@example.com</t>
  </si>
  <si>
    <t>MÃ¼hlenstraÃe</t>
  </si>
  <si>
    <t>Augsburg</t>
  </si>
  <si>
    <t>Elena</t>
  </si>
  <si>
    <t>Neumann</t>
  </si>
  <si>
    <t>elena.neumann18@example.com</t>
  </si>
  <si>
    <t>ParkstraÃe</t>
  </si>
  <si>
    <t>Potsdam</t>
  </si>
  <si>
    <t>KÃ¶nigsstrasse</t>
  </si>
  <si>
    <t>Julia</t>
  </si>
  <si>
    <t>Fischer</t>
  </si>
  <si>
    <t>julia.fischer20@example.com</t>
  </si>
  <si>
    <t>GartenstraÃe</t>
  </si>
  <si>
    <t>GÃ¶ttingen</t>
  </si>
  <si>
    <t>Simon</t>
  </si>
  <si>
    <t>GÃ¼nther</t>
  </si>
  <si>
    <t>simon.guenther21@example.com</t>
  </si>
  <si>
    <t>MozartstraÃe</t>
  </si>
  <si>
    <t>Clara</t>
  </si>
  <si>
    <t>JÃ¤ger</t>
  </si>
  <si>
    <t>clara.jaeger22@example.com</t>
  </si>
  <si>
    <t>DorfstraÃe</t>
  </si>
  <si>
    <t>FÃ¼rth</t>
  </si>
  <si>
    <t>David</t>
  </si>
  <si>
    <t>Hoffmann</t>
  </si>
  <si>
    <t>david.hoffmann23@example.com</t>
  </si>
  <si>
    <t>Berlin</t>
  </si>
  <si>
    <t>Hannah</t>
  </si>
  <si>
    <t>Meyer</t>
  </si>
  <si>
    <t>hannah.meyer24@example.com</t>
  </si>
  <si>
    <t>LindenstraÃe</t>
  </si>
  <si>
    <t>Anton</t>
  </si>
  <si>
    <t>KÃ¼hn</t>
  </si>
  <si>
    <t>anton.kuehn25@example.com</t>
  </si>
  <si>
    <t>Lorenz</t>
  </si>
  <si>
    <t>sofia.lorenz26@example.com</t>
  </si>
  <si>
    <t>Felix</t>
  </si>
  <si>
    <t>Hartmann</t>
  </si>
  <si>
    <t>felix.hartmann27@example.com</t>
  </si>
  <si>
    <t>Keller</t>
  </si>
  <si>
    <t>anna.keller@example.com</t>
  </si>
  <si>
    <t>Daniel</t>
  </si>
  <si>
    <t>Vogel</t>
  </si>
  <si>
    <t>daniel.vogel29@example.com</t>
  </si>
  <si>
    <t>Mainz</t>
  </si>
  <si>
    <t>anna.mueller30@example.com</t>
  </si>
  <si>
    <t>laura.froehlich32@example.com</t>
  </si>
  <si>
    <t>max.oezdemir33@example.com</t>
  </si>
  <si>
    <t>eva.schulz34@example.com</t>
  </si>
  <si>
    <t>Jonas</t>
  </si>
  <si>
    <t>Wolf</t>
  </si>
  <si>
    <t>jonas.wolf35@example.com</t>
  </si>
  <si>
    <t>nina.schroeder36@example.com</t>
  </si>
  <si>
    <t>KÃ¶nigsstr.</t>
  </si>
  <si>
    <t>marlene.pohl38@example.com</t>
  </si>
  <si>
    <t>GrÃ¼ner Weg</t>
  </si>
  <si>
    <t>MÃ¼nster</t>
  </si>
  <si>
    <t>mehmet.boehm39@example.com</t>
  </si>
  <si>
    <t>lea.schaefer40@example.com</t>
  </si>
  <si>
    <t>noah.weiss41@example.com</t>
  </si>
  <si>
    <t>klara.becker42@example.com</t>
  </si>
  <si>
    <t>lukas.baer43@example.com</t>
  </si>
  <si>
    <t>MÃ¤rkische StraÃe</t>
  </si>
  <si>
    <t>Leipzig</t>
  </si>
  <si>
    <t>GroÃ</t>
  </si>
  <si>
    <t>miriam.gross44@example.com</t>
  </si>
  <si>
    <t>emil.kraemer45@example.com</t>
  </si>
  <si>
    <t>sarah.zimmermann46@example.com</t>
  </si>
  <si>
    <t>moritz.berger47@example.com</t>
  </si>
  <si>
    <t>elena.neumann48@example.com</t>
  </si>
  <si>
    <t>Paul</t>
  </si>
  <si>
    <t>Seidel</t>
  </si>
  <si>
    <t>paul.seidel49@example.com</t>
  </si>
  <si>
    <t>julia.fischer50@example.com</t>
  </si>
  <si>
    <t>simon.guenther51@example.com</t>
  </si>
  <si>
    <t>clara.jaeger52@example.com</t>
  </si>
  <si>
    <t>david.hoffmann53@example.com</t>
  </si>
  <si>
    <t>hannah.meyer54@example.com</t>
  </si>
  <si>
    <t>anton.kuehn55@example.com</t>
  </si>
  <si>
    <t>KirchstraÃe</t>
  </si>
  <si>
    <t>Heidelberg</t>
  </si>
  <si>
    <t>sofia.lorenz56@example.com</t>
  </si>
  <si>
    <t>felix.hartmann57@example.com</t>
  </si>
  <si>
    <t>Maja</t>
  </si>
  <si>
    <t>KÃ¶nig</t>
  </si>
  <si>
    <t>maja.koenig58@example.com</t>
  </si>
  <si>
    <t>daniel.vogel59@example.com</t>
  </si>
  <si>
    <t>anna.mueller60@example.com</t>
  </si>
  <si>
    <t>thomas.wagner61@example.com</t>
  </si>
  <si>
    <t>laura.froehlich62@example.com</t>
  </si>
  <si>
    <t>KÃ¶nigs STR.</t>
  </si>
  <si>
    <t>eva.schulz64@example.com</t>
  </si>
  <si>
    <t>jonas.wolf65@example.com</t>
  </si>
  <si>
    <t>nina.schroeder66@example.com</t>
  </si>
  <si>
    <t>Leon</t>
  </si>
  <si>
    <t>Brandt</t>
  </si>
  <si>
    <t>leon.brandt67@example.com</t>
  </si>
  <si>
    <t>marlene.pohl68@example.com</t>
  </si>
  <si>
    <t>mehmet.boehm69@example.com</t>
  </si>
  <si>
    <t>lea.schaefer70@example.com</t>
  </si>
  <si>
    <t>noah.weiss71@example.com</t>
  </si>
  <si>
    <t>klara.becker72@example.com</t>
  </si>
  <si>
    <t>lukas.baer73@example.com</t>
  </si>
  <si>
    <t>miriam.gross74@example.com</t>
  </si>
  <si>
    <t>emil.kraemer75@example.com</t>
  </si>
  <si>
    <t>sarah.zimmermann76@example.com</t>
  </si>
  <si>
    <t>moritz.berger77@example.com</t>
  </si>
  <si>
    <t>elena.neumann78@example.com</t>
  </si>
  <si>
    <t>paul.seidel79@example.com</t>
  </si>
  <si>
    <t>julia.fischer80@example.com</t>
  </si>
  <si>
    <t>simon.guenther81@example.com</t>
  </si>
  <si>
    <t>mehmet.oezdemir@example.com</t>
  </si>
  <si>
    <t>felix.hartmann87@example.com</t>
  </si>
  <si>
    <t>Bergstrasse</t>
  </si>
  <si>
    <t>anna.mueller90@example.com</t>
  </si>
  <si>
    <t>thomas.wagner91@example.com</t>
  </si>
  <si>
    <t>Mariahilfer StraÃe</t>
  </si>
  <si>
    <t>anna.mueller.current2@example.com</t>
  </si>
  <si>
    <t>felix.boehm@example.com</t>
  </si>
  <si>
    <t>Bahnhofstrasse</t>
  </si>
  <si>
    <t>ZÃ¼rich</t>
  </si>
  <si>
    <t>Switzerland</t>
  </si>
  <si>
    <t>laura.neumann@example.com</t>
  </si>
  <si>
    <t>nina.kraemer@example.com</t>
  </si>
  <si>
    <t>Museumstraat</t>
  </si>
  <si>
    <t>Amsterdam</t>
  </si>
  <si>
    <t>Netherlands</t>
  </si>
  <si>
    <t>marlene.pohl98@example.com</t>
  </si>
  <si>
    <t>Markus</t>
  </si>
  <si>
    <t>markus.keller@example.com</t>
  </si>
  <si>
    <t>hannah.guenther@example.com</t>
  </si>
  <si>
    <t>Fröhlich</t>
  </si>
  <si>
    <t>Würzburg</t>
  </si>
  <si>
    <t>Schröder</t>
  </si>
  <si>
    <t>Böhm</t>
  </si>
  <si>
    <t>Saarbrücken</t>
  </si>
  <si>
    <t>Schäfer</t>
  </si>
  <si>
    <t>Lübeck</t>
  </si>
  <si>
    <t>Bär</t>
  </si>
  <si>
    <t>Krämer</t>
  </si>
  <si>
    <t>Nürnberg</t>
  </si>
  <si>
    <t>Königsstrasse</t>
  </si>
  <si>
    <t>Göttingen</t>
  </si>
  <si>
    <t>Günther</t>
  </si>
  <si>
    <t>Fürth</t>
  </si>
  <si>
    <t>Kühn</t>
  </si>
  <si>
    <t>Königsstr.</t>
  </si>
  <si>
    <t>Grüner Weg</t>
  </si>
  <si>
    <t>Münster</t>
  </si>
  <si>
    <t>Königs STR.</t>
  </si>
  <si>
    <t>Zürich</t>
  </si>
  <si>
    <t>Bergstraße</t>
  </si>
  <si>
    <t>Lessingstraße</t>
  </si>
  <si>
    <t>Özdemir</t>
  </si>
  <si>
    <t>Seestraße</t>
  </si>
  <si>
    <t>Birkenstraße</t>
  </si>
  <si>
    <t>Jägerstraße</t>
  </si>
  <si>
    <t>Bahnhofstraße</t>
  </si>
  <si>
    <t>Sonnenstraße</t>
  </si>
  <si>
    <t>Feldstraße</t>
  </si>
  <si>
    <t>Hauptstraße</t>
  </si>
  <si>
    <t>Waldstraße</t>
  </si>
  <si>
    <t>Mühlenstraße</t>
  </si>
  <si>
    <t>Parkstraße</t>
  </si>
  <si>
    <t>Gartenstraße</t>
  </si>
  <si>
    <t>Mozartstraße</t>
  </si>
  <si>
    <t>Dorfstraße</t>
  </si>
  <si>
    <t>Märkische Straße</t>
  </si>
  <si>
    <t>Groß</t>
  </si>
  <si>
    <t>Kirchstraße</t>
  </si>
  <si>
    <t>1</t>
  </si>
  <si>
    <t>101</t>
  </si>
  <si>
    <t>30159</t>
  </si>
  <si>
    <t>2026-05-01</t>
  </si>
  <si>
    <t>2</t>
  </si>
  <si>
    <t>102</t>
  </si>
  <si>
    <t>2026-05-02</t>
  </si>
  <si>
    <t>3</t>
  </si>
  <si>
    <t>103</t>
  </si>
  <si>
    <t>79098</t>
  </si>
  <si>
    <t>2026-05-03</t>
  </si>
  <si>
    <t>4</t>
  </si>
  <si>
    <t>104</t>
  </si>
  <si>
    <t>97070</t>
  </si>
  <si>
    <t>2026-05-04</t>
  </si>
  <si>
    <t>5</t>
  </si>
  <si>
    <t>2026-05-05</t>
  </si>
  <si>
    <t>6</t>
  </si>
  <si>
    <t>106</t>
  </si>
  <si>
    <t>53111</t>
  </si>
  <si>
    <t>2026-05-06</t>
  </si>
  <si>
    <t>8</t>
  </si>
  <si>
    <t>108</t>
  </si>
  <si>
    <t>01067</t>
  </si>
  <si>
    <t>2026-05-08</t>
  </si>
  <si>
    <t>9</t>
  </si>
  <si>
    <t>109</t>
  </si>
  <si>
    <t>66111</t>
  </si>
  <si>
    <t>2026-05-09</t>
  </si>
  <si>
    <t>10</t>
  </si>
  <si>
    <t>110</t>
  </si>
  <si>
    <t>20095</t>
  </si>
  <si>
    <t>2026-05-10</t>
  </si>
  <si>
    <t>11</t>
  </si>
  <si>
    <t>111</t>
  </si>
  <si>
    <t>23552</t>
  </si>
  <si>
    <t>2026-05-11</t>
  </si>
  <si>
    <t>112</t>
  </si>
  <si>
    <t>28195</t>
  </si>
  <si>
    <t>2026-05-12</t>
  </si>
  <si>
    <t>13</t>
  </si>
  <si>
    <t>113</t>
  </si>
  <si>
    <t>2026-05-13</t>
  </si>
  <si>
    <t>14</t>
  </si>
  <si>
    <t>15</t>
  </si>
  <si>
    <t>115</t>
  </si>
  <si>
    <t>90402</t>
  </si>
  <si>
    <t>2026-05-15</t>
  </si>
  <si>
    <t>16</t>
  </si>
  <si>
    <t>116</t>
  </si>
  <si>
    <t>93047</t>
  </si>
  <si>
    <t>2026-05-16</t>
  </si>
  <si>
    <t>17</t>
  </si>
  <si>
    <t>117</t>
  </si>
  <si>
    <t>86150</t>
  </si>
  <si>
    <t>2026-05-17</t>
  </si>
  <si>
    <t>118</t>
  </si>
  <si>
    <t>14467</t>
  </si>
  <si>
    <t>2026-05-18</t>
  </si>
  <si>
    <t>19</t>
  </si>
  <si>
    <t>2026-05-19</t>
  </si>
  <si>
    <t>20</t>
  </si>
  <si>
    <t>120</t>
  </si>
  <si>
    <t>37073</t>
  </si>
  <si>
    <t>2026-05-20</t>
  </si>
  <si>
    <t>21</t>
  </si>
  <si>
    <t>121</t>
  </si>
  <si>
    <t>2026-05-21</t>
  </si>
  <si>
    <t>122</t>
  </si>
  <si>
    <t>90762</t>
  </si>
  <si>
    <t>2026-05-22</t>
  </si>
  <si>
    <t>23</t>
  </si>
  <si>
    <t>123</t>
  </si>
  <si>
    <t>10115</t>
  </si>
  <si>
    <t>2026-05-23</t>
  </si>
  <si>
    <t>24</t>
  </si>
  <si>
    <t>124</t>
  </si>
  <si>
    <t>2026-05-24</t>
  </si>
  <si>
    <t>25</t>
  </si>
  <si>
    <t>125</t>
  </si>
  <si>
    <t>2026-05-25</t>
  </si>
  <si>
    <t>26</t>
  </si>
  <si>
    <t>126</t>
  </si>
  <si>
    <t>2026-05-26</t>
  </si>
  <si>
    <t>27</t>
  </si>
  <si>
    <t>127</t>
  </si>
  <si>
    <t>2026-05-27</t>
  </si>
  <si>
    <t>28</t>
  </si>
  <si>
    <t>2026-05-28</t>
  </si>
  <si>
    <t>29</t>
  </si>
  <si>
    <t>129</t>
  </si>
  <si>
    <t>55116</t>
  </si>
  <si>
    <t>2026-05-29</t>
  </si>
  <si>
    <t>30</t>
  </si>
  <si>
    <t>130</t>
  </si>
  <si>
    <t>2026-05-30</t>
  </si>
  <si>
    <t>31</t>
  </si>
  <si>
    <t>32</t>
  </si>
  <si>
    <t>132</t>
  </si>
  <si>
    <t>2026-06-01</t>
  </si>
  <si>
    <t>33</t>
  </si>
  <si>
    <t>133</t>
  </si>
  <si>
    <t>2026-06-02</t>
  </si>
  <si>
    <t>34</t>
  </si>
  <si>
    <t>134</t>
  </si>
  <si>
    <t>2026-06-03</t>
  </si>
  <si>
    <t>35</t>
  </si>
  <si>
    <t>135</t>
  </si>
  <si>
    <t>2026-06-04</t>
  </si>
  <si>
    <t>36</t>
  </si>
  <si>
    <t>136</t>
  </si>
  <si>
    <t>2026-06-05</t>
  </si>
  <si>
    <t>37</t>
  </si>
  <si>
    <t>2026-06-06</t>
  </si>
  <si>
    <t>38</t>
  </si>
  <si>
    <t>138</t>
  </si>
  <si>
    <t>48143</t>
  </si>
  <si>
    <t>2026-06-07</t>
  </si>
  <si>
    <t>39</t>
  </si>
  <si>
    <t>139</t>
  </si>
  <si>
    <t>2026-06-08</t>
  </si>
  <si>
    <t>40</t>
  </si>
  <si>
    <t>140</t>
  </si>
  <si>
    <t>2026-06-09</t>
  </si>
  <si>
    <t>41</t>
  </si>
  <si>
    <t>141</t>
  </si>
  <si>
    <t>2026-06-10</t>
  </si>
  <si>
    <t>42</t>
  </si>
  <si>
    <t>142</t>
  </si>
  <si>
    <t>2026-06-11</t>
  </si>
  <si>
    <t>43</t>
  </si>
  <si>
    <t>143</t>
  </si>
  <si>
    <t>04109</t>
  </si>
  <si>
    <t>2026-06-12</t>
  </si>
  <si>
    <t>44</t>
  </si>
  <si>
    <t>144</t>
  </si>
  <si>
    <t>2026-06-13</t>
  </si>
  <si>
    <t>45</t>
  </si>
  <si>
    <t>145</t>
  </si>
  <si>
    <t>2026-06-14</t>
  </si>
  <si>
    <t>46</t>
  </si>
  <si>
    <t>146</t>
  </si>
  <si>
    <t>2026-06-15</t>
  </si>
  <si>
    <t>47</t>
  </si>
  <si>
    <t>147</t>
  </si>
  <si>
    <t>2026-06-16</t>
  </si>
  <si>
    <t>48</t>
  </si>
  <si>
    <t>148</t>
  </si>
  <si>
    <t>2026-06-17</t>
  </si>
  <si>
    <t>49</t>
  </si>
  <si>
    <t>149</t>
  </si>
  <si>
    <t>2026-06-18</t>
  </si>
  <si>
    <t>50</t>
  </si>
  <si>
    <t>150</t>
  </si>
  <si>
    <t>2026-06-19</t>
  </si>
  <si>
    <t>51</t>
  </si>
  <si>
    <t>151</t>
  </si>
  <si>
    <t>2026-06-20</t>
  </si>
  <si>
    <t>52</t>
  </si>
  <si>
    <t>152</t>
  </si>
  <si>
    <t>2026-06-21</t>
  </si>
  <si>
    <t>53</t>
  </si>
  <si>
    <t>153</t>
  </si>
  <si>
    <t>2026-06-22</t>
  </si>
  <si>
    <t>54</t>
  </si>
  <si>
    <t>154</t>
  </si>
  <si>
    <t>2026-06-23</t>
  </si>
  <si>
    <t>55</t>
  </si>
  <si>
    <t>155</t>
  </si>
  <si>
    <t>69117</t>
  </si>
  <si>
    <t>2026-06-24</t>
  </si>
  <si>
    <t>56</t>
  </si>
  <si>
    <t>156</t>
  </si>
  <si>
    <t>2026-06-25</t>
  </si>
  <si>
    <t>57</t>
  </si>
  <si>
    <t>157</t>
  </si>
  <si>
    <t>2026-06-26</t>
  </si>
  <si>
    <t>58</t>
  </si>
  <si>
    <t>158</t>
  </si>
  <si>
    <t>2026-06-27</t>
  </si>
  <si>
    <t>59</t>
  </si>
  <si>
    <t>159</t>
  </si>
  <si>
    <t>2026-06-28</t>
  </si>
  <si>
    <t>60</t>
  </si>
  <si>
    <t>160</t>
  </si>
  <si>
    <t>2026-06-29</t>
  </si>
  <si>
    <t>61</t>
  </si>
  <si>
    <t>161</t>
  </si>
  <si>
    <t>2026-06-30</t>
  </si>
  <si>
    <t>62</t>
  </si>
  <si>
    <t>162</t>
  </si>
  <si>
    <t>2026-07-01</t>
  </si>
  <si>
    <t>63</t>
  </si>
  <si>
    <t>2026-07-02</t>
  </si>
  <si>
    <t>64</t>
  </si>
  <si>
    <t>164</t>
  </si>
  <si>
    <t>2026-07-03</t>
  </si>
  <si>
    <t>65</t>
  </si>
  <si>
    <t>165</t>
  </si>
  <si>
    <t>2026-07-04</t>
  </si>
  <si>
    <t>66</t>
  </si>
  <si>
    <t>166</t>
  </si>
  <si>
    <t>2026-07-05</t>
  </si>
  <si>
    <t>67</t>
  </si>
  <si>
    <t>167</t>
  </si>
  <si>
    <t>2026-07-06</t>
  </si>
  <si>
    <t>68</t>
  </si>
  <si>
    <t>168</t>
  </si>
  <si>
    <t>2026-07-07</t>
  </si>
  <si>
    <t>69</t>
  </si>
  <si>
    <t>169</t>
  </si>
  <si>
    <t>2026-07-08</t>
  </si>
  <si>
    <t>70</t>
  </si>
  <si>
    <t>170</t>
  </si>
  <si>
    <t>2026-07-09</t>
  </si>
  <si>
    <t>71</t>
  </si>
  <si>
    <t>171</t>
  </si>
  <si>
    <t>2026-07-10</t>
  </si>
  <si>
    <t>72</t>
  </si>
  <si>
    <t>172</t>
  </si>
  <si>
    <t>2026-07-11</t>
  </si>
  <si>
    <t>73</t>
  </si>
  <si>
    <t>173</t>
  </si>
  <si>
    <t>2026-07-12</t>
  </si>
  <si>
    <t>74</t>
  </si>
  <si>
    <t>174</t>
  </si>
  <si>
    <t>2026-07-13</t>
  </si>
  <si>
    <t>75</t>
  </si>
  <si>
    <t>175</t>
  </si>
  <si>
    <t>2026-07-14</t>
  </si>
  <si>
    <t>76</t>
  </si>
  <si>
    <t>176</t>
  </si>
  <si>
    <t>2026-07-15</t>
  </si>
  <si>
    <t>77</t>
  </si>
  <si>
    <t>177</t>
  </si>
  <si>
    <t>2026-07-16</t>
  </si>
  <si>
    <t>78</t>
  </si>
  <si>
    <t>178</t>
  </si>
  <si>
    <t>2026-07-17</t>
  </si>
  <si>
    <t>79</t>
  </si>
  <si>
    <t>179</t>
  </si>
  <si>
    <t>2026-07-18</t>
  </si>
  <si>
    <t>80</t>
  </si>
  <si>
    <t>180</t>
  </si>
  <si>
    <t>2026-08-31</t>
  </si>
  <si>
    <t>81</t>
  </si>
  <si>
    <t>181</t>
  </si>
  <si>
    <t>82</t>
  </si>
  <si>
    <t>83</t>
  </si>
  <si>
    <t>84</t>
  </si>
  <si>
    <t>85</t>
  </si>
  <si>
    <t>86</t>
  </si>
  <si>
    <t>2026-09-06</t>
  </si>
  <si>
    <t>87</t>
  </si>
  <si>
    <t>187</t>
  </si>
  <si>
    <t>88</t>
  </si>
  <si>
    <t>89</t>
  </si>
  <si>
    <t>90</t>
  </si>
  <si>
    <t>190</t>
  </si>
  <si>
    <t>91</t>
  </si>
  <si>
    <t>191</t>
  </si>
  <si>
    <t>92</t>
  </si>
  <si>
    <t>93</t>
  </si>
  <si>
    <t>94</t>
  </si>
  <si>
    <t>8001</t>
  </si>
  <si>
    <t>95</t>
  </si>
  <si>
    <t>96</t>
  </si>
  <si>
    <t>1017</t>
  </si>
  <si>
    <t>97</t>
  </si>
  <si>
    <t>98</t>
  </si>
  <si>
    <t>198</t>
  </si>
  <si>
    <t>99</t>
  </si>
  <si>
    <t>100</t>
  </si>
  <si>
    <t>Business Rule Processing</t>
  </si>
  <si>
    <t>Business Rules</t>
  </si>
  <si>
    <t>BatchClassification</t>
  </si>
  <si>
    <t>HistoricalDuplicate</t>
  </si>
  <si>
    <t>CurrentBatchDuplicate</t>
  </si>
  <si>
    <t>CountryEligible</t>
  </si>
  <si>
    <t>Historical</t>
  </si>
  <si>
    <t>N/A</t>
  </si>
  <si>
    <t>Historical Record</t>
  </si>
  <si>
    <t>Current</t>
  </si>
  <si>
    <t>Eligible</t>
  </si>
  <si>
    <t>Not Eligible</t>
  </si>
  <si>
    <t>Outside Germany</t>
  </si>
  <si>
    <t>Historical Duplicate</t>
  </si>
  <si>
    <t>Current Batch Duplicate</t>
  </si>
  <si>
    <t>SchillerstraÃŸe</t>
  </si>
  <si>
    <t>GoethestraÃŸe</t>
  </si>
  <si>
    <t>Lindenstr.</t>
  </si>
  <si>
    <t>Martin</t>
  </si>
  <si>
    <t>Situation – Business Problem</t>
  </si>
  <si>
    <t>Task – Objective</t>
  </si>
  <si>
    <t>Action – Solution &amp; Architecture</t>
  </si>
  <si>
    <t>Result – Outcome &amp; Impact</t>
  </si>
  <si>
    <t>Order Validation &amp; Fulfillment Automation</t>
  </si>
  <si>
    <r>
      <t xml:space="preserve">Design a </t>
    </r>
    <r>
      <rPr>
        <b/>
        <sz val="10"/>
        <rFont val="Carlito"/>
      </rPr>
      <t>scalable</t>
    </r>
    <r>
      <rPr>
        <sz val="10"/>
        <rFont val="Carlito"/>
      </rPr>
      <t xml:space="preserve"> and </t>
    </r>
    <r>
      <rPr>
        <b/>
        <sz val="10"/>
        <rFont val="Carlito"/>
      </rPr>
      <t>maintainable</t>
    </r>
    <r>
      <rPr>
        <sz val="10"/>
        <rFont val="Carlito"/>
      </rPr>
      <t xml:space="preserve"> Excel-based </t>
    </r>
    <r>
      <rPr>
        <b/>
        <sz val="10"/>
        <rFont val="Carlito"/>
      </rPr>
      <t>workflow</t>
    </r>
    <r>
      <rPr>
        <sz val="10"/>
        <rFont val="Carlito"/>
      </rPr>
      <t xml:space="preserve"> capable of</t>
    </r>
    <r>
      <rPr>
        <b/>
        <sz val="10"/>
        <rFont val="Carlito"/>
      </rPr>
      <t xml:space="preserve"> processing</t>
    </r>
    <r>
      <rPr>
        <sz val="10"/>
        <rFont val="Carlito"/>
      </rPr>
      <t xml:space="preserve"> the full </t>
    </r>
    <r>
      <rPr>
        <b/>
        <sz val="10"/>
        <rFont val="Carlito"/>
      </rPr>
      <t>dataset.
Identify the current weekly batch</t>
    </r>
    <r>
      <rPr>
        <sz val="10"/>
        <rFont val="Carlito"/>
      </rPr>
      <t xml:space="preserve"> and </t>
    </r>
    <r>
      <rPr>
        <b/>
        <sz val="10"/>
        <rFont val="Carlito"/>
      </rPr>
      <t>apply validation</t>
    </r>
    <r>
      <rPr>
        <sz val="10"/>
        <rFont val="Carlito"/>
      </rPr>
      <t xml:space="preserve">, </t>
    </r>
    <r>
      <rPr>
        <b/>
        <sz val="10"/>
        <rFont val="Carlito"/>
      </rPr>
      <t>duplicate-control and eligibility rules</t>
    </r>
    <r>
      <rPr>
        <sz val="10"/>
        <rFont val="Carlito"/>
      </rPr>
      <t xml:space="preserve">.
The </t>
    </r>
    <r>
      <rPr>
        <b/>
        <sz val="10"/>
        <rFont val="Carlito"/>
      </rPr>
      <t>workflow</t>
    </r>
    <r>
      <rPr>
        <sz val="10"/>
        <rFont val="Carlito"/>
      </rPr>
      <t xml:space="preserve"> had to generate </t>
    </r>
    <r>
      <rPr>
        <b/>
        <sz val="10"/>
        <rFont val="Carlito"/>
      </rPr>
      <t>stakeholder-specific outputs</t>
    </r>
    <r>
      <rPr>
        <sz val="10"/>
        <rFont val="Carlito"/>
      </rPr>
      <t xml:space="preserve"> for </t>
    </r>
    <r>
      <rPr>
        <b/>
        <sz val="10"/>
        <rFont val="Carlito"/>
      </rPr>
      <t>Quality</t>
    </r>
    <r>
      <rPr>
        <sz val="10"/>
        <rFont val="Carlito"/>
      </rPr>
      <t xml:space="preserve">, </t>
    </r>
    <r>
      <rPr>
        <b/>
        <sz val="10"/>
        <rFont val="Carlito"/>
      </rPr>
      <t>Marketing</t>
    </r>
    <r>
      <rPr>
        <sz val="10"/>
        <rFont val="Carlito"/>
      </rPr>
      <t xml:space="preserve"> and </t>
    </r>
    <r>
      <rPr>
        <b/>
        <sz val="10"/>
        <rFont val="Carlito"/>
      </rPr>
      <t>Management</t>
    </r>
    <r>
      <rPr>
        <sz val="10"/>
        <rFont val="Carlito"/>
      </rPr>
      <t>.</t>
    </r>
  </si>
  <si>
    <r>
      <t xml:space="preserve">A weekly promotional fulfillment process with approximately </t>
    </r>
    <r>
      <rPr>
        <b/>
        <sz val="10"/>
        <rFont val="Carlito"/>
      </rPr>
      <t>400,000 historical</t>
    </r>
    <r>
      <rPr>
        <sz val="10"/>
        <rFont val="Carlito"/>
      </rPr>
      <t xml:space="preserve"> and </t>
    </r>
    <r>
      <rPr>
        <b/>
        <sz val="10"/>
        <rFont val="Carlito"/>
      </rPr>
      <t>current records</t>
    </r>
    <r>
      <rPr>
        <sz val="10"/>
        <rFont val="Carlito"/>
      </rPr>
      <t xml:space="preserve">.
The workflow required </t>
    </r>
    <r>
      <rPr>
        <b/>
        <sz val="10"/>
        <rFont val="Carlito"/>
      </rPr>
      <t>data import</t>
    </r>
    <r>
      <rPr>
        <sz val="10"/>
        <rFont val="Carlito"/>
      </rPr>
      <t xml:space="preserve"> and </t>
    </r>
    <r>
      <rPr>
        <b/>
        <sz val="10"/>
        <rFont val="Carlito"/>
      </rPr>
      <t>encoding</t>
    </r>
    <r>
      <rPr>
        <sz val="10"/>
        <rFont val="Carlito"/>
      </rPr>
      <t xml:space="preserve"> </t>
    </r>
    <r>
      <rPr>
        <b/>
        <sz val="10"/>
        <rFont val="Carlito"/>
      </rPr>
      <t>correction</t>
    </r>
    <r>
      <rPr>
        <sz val="10"/>
        <rFont val="Carlito"/>
      </rPr>
      <t xml:space="preserve">, </t>
    </r>
    <r>
      <rPr>
        <b/>
        <sz val="10"/>
        <rFont val="Carlito"/>
      </rPr>
      <t>batch identification</t>
    </r>
    <r>
      <rPr>
        <sz val="10"/>
        <rFont val="Carlito"/>
      </rPr>
      <t xml:space="preserve">, </t>
    </r>
    <r>
      <rPr>
        <b/>
        <sz val="10"/>
        <rFont val="Carlito"/>
      </rPr>
      <t>validation</t>
    </r>
    <r>
      <rPr>
        <sz val="10"/>
        <rFont val="Carlito"/>
      </rPr>
      <t xml:space="preserve"> and </t>
    </r>
    <r>
      <rPr>
        <b/>
        <sz val="10"/>
        <rFont val="Carlito"/>
      </rPr>
      <t xml:space="preserve">duplicate control.
</t>
    </r>
    <r>
      <rPr>
        <sz val="10"/>
        <rFont val="Carlito"/>
      </rPr>
      <t xml:space="preserve">
The resulting data needed to ensurie </t>
    </r>
    <r>
      <rPr>
        <b/>
        <sz val="10"/>
        <rFont val="Carlito"/>
      </rPr>
      <t>performance and</t>
    </r>
    <r>
      <rPr>
        <sz val="10"/>
        <rFont val="Carlito"/>
      </rPr>
      <t xml:space="preserve"> </t>
    </r>
    <r>
      <rPr>
        <b/>
        <sz val="10"/>
        <rFont val="Carlito"/>
      </rPr>
      <t>quality</t>
    </r>
    <r>
      <rPr>
        <sz val="10"/>
        <rFont val="Carlito"/>
      </rPr>
      <t xml:space="preserve">, supporting </t>
    </r>
    <r>
      <rPr>
        <b/>
        <sz val="10"/>
        <rFont val="Carlito"/>
      </rPr>
      <t>stakeholder-specific operational outputs</t>
    </r>
    <r>
      <rPr>
        <sz val="10"/>
        <rFont val="Carlito"/>
      </rPr>
      <t>.</t>
    </r>
  </si>
  <si>
    <r>
      <t xml:space="preserve">Designed and built an </t>
    </r>
    <r>
      <rPr>
        <b/>
        <sz val="10"/>
        <rFont val="Carlito"/>
      </rPr>
      <t>Excel/VBA automation pipeline</t>
    </r>
    <r>
      <rPr>
        <sz val="10"/>
        <rFont val="Carlito"/>
      </rPr>
      <t xml:space="preserve"> with </t>
    </r>
    <r>
      <rPr>
        <b/>
        <sz val="10"/>
        <rFont val="Carlito"/>
      </rPr>
      <t>Extract</t>
    </r>
    <r>
      <rPr>
        <sz val="10"/>
        <rFont val="Carlito"/>
      </rPr>
      <t xml:space="preserve">, </t>
    </r>
    <r>
      <rPr>
        <b/>
        <sz val="10"/>
        <rFont val="Carlito"/>
      </rPr>
      <t>Transform</t>
    </r>
    <r>
      <rPr>
        <sz val="10"/>
        <rFont val="Carlito"/>
      </rPr>
      <t xml:space="preserve"> and </t>
    </r>
    <r>
      <rPr>
        <b/>
        <sz val="10"/>
        <rFont val="Carlito"/>
      </rPr>
      <t>Load</t>
    </r>
    <r>
      <rPr>
        <sz val="10"/>
        <rFont val="Carlito"/>
      </rPr>
      <t xml:space="preserve"> stages. 
The </t>
    </r>
    <r>
      <rPr>
        <b/>
        <sz val="10"/>
        <rFont val="Carlito"/>
      </rPr>
      <t>Transform</t>
    </r>
    <r>
      <rPr>
        <sz val="10"/>
        <rFont val="Carlito"/>
      </rPr>
      <t xml:space="preserve"> stage applies defined </t>
    </r>
    <r>
      <rPr>
        <b/>
        <sz val="10"/>
        <rFont val="Carlito"/>
      </rPr>
      <t>Business Rules</t>
    </r>
    <r>
      <rPr>
        <sz val="10"/>
        <rFont val="Carlito"/>
      </rPr>
      <t xml:space="preserve"> derived from </t>
    </r>
    <r>
      <rPr>
        <b/>
        <sz val="10"/>
        <rFont val="Carlito"/>
      </rPr>
      <t>process requirements</t>
    </r>
    <r>
      <rPr>
        <sz val="10"/>
        <rFont val="Carlito"/>
      </rPr>
      <t xml:space="preserve">, </t>
    </r>
    <r>
      <rPr>
        <b/>
        <sz val="10"/>
        <rFont val="Carlito"/>
      </rPr>
      <t>validation criteria</t>
    </r>
    <r>
      <rPr>
        <sz val="10"/>
        <rFont val="Carlito"/>
      </rPr>
      <t xml:space="preserve"> and </t>
    </r>
    <r>
      <rPr>
        <b/>
        <sz val="10"/>
        <rFont val="Carlito"/>
      </rPr>
      <t>duplicate-control logic</t>
    </r>
    <r>
      <rPr>
        <sz val="10"/>
        <rFont val="Carlito"/>
      </rPr>
      <t xml:space="preserve">.
Data is processed in memory using </t>
    </r>
    <r>
      <rPr>
        <b/>
        <sz val="10"/>
        <rFont val="Carlito"/>
      </rPr>
      <t>VBA arrays</t>
    </r>
    <r>
      <rPr>
        <sz val="10"/>
        <rFont val="Carlito"/>
      </rPr>
      <t xml:space="preserve"> and </t>
    </r>
    <r>
      <rPr>
        <b/>
        <sz val="10"/>
        <rFont val="Carlito"/>
      </rPr>
      <t>Scripting.Dictionary</t>
    </r>
    <r>
      <rPr>
        <sz val="10"/>
        <rFont val="Carlito"/>
      </rPr>
      <t>, with</t>
    </r>
    <r>
      <rPr>
        <b/>
        <sz val="10"/>
        <rFont val="Carlito"/>
      </rPr>
      <t xml:space="preserve"> dynamic tables</t>
    </r>
    <r>
      <rPr>
        <sz val="10"/>
        <rFont val="Carlito"/>
      </rPr>
      <t xml:space="preserve"> and </t>
    </r>
    <r>
      <rPr>
        <b/>
        <sz val="10"/>
        <rFont val="Carlito"/>
      </rPr>
      <t>header-based</t>
    </r>
    <r>
      <rPr>
        <sz val="10"/>
        <rFont val="Carlito"/>
      </rPr>
      <t xml:space="preserve"> </t>
    </r>
    <r>
      <rPr>
        <b/>
        <sz val="10"/>
        <rFont val="Carlito"/>
      </rPr>
      <t>column</t>
    </r>
    <r>
      <rPr>
        <sz val="10"/>
        <rFont val="Carlito"/>
      </rPr>
      <t xml:space="preserve"> detection. 
The resulting </t>
    </r>
    <r>
      <rPr>
        <b/>
        <u/>
        <sz val="10"/>
        <rFont val="Carlito"/>
      </rPr>
      <t>Single Source of Truth</t>
    </r>
    <r>
      <rPr>
        <sz val="10"/>
        <rFont val="Carlito"/>
      </rPr>
      <t xml:space="preserve"> supports </t>
    </r>
    <r>
      <rPr>
        <b/>
        <sz val="10"/>
        <rFont val="Carlito"/>
      </rPr>
      <t>fulfillment operations,</t>
    </r>
    <r>
      <rPr>
        <sz val="10"/>
        <rFont val="Carlito"/>
      </rPr>
      <t xml:space="preserve"> </t>
    </r>
    <r>
      <rPr>
        <b/>
        <sz val="10"/>
        <rFont val="Carlito"/>
      </rPr>
      <t>Marketing analysis</t>
    </r>
    <r>
      <rPr>
        <sz val="10"/>
        <rFont val="Carlito"/>
      </rPr>
      <t xml:space="preserve"> and </t>
    </r>
    <r>
      <rPr>
        <b/>
        <sz val="10"/>
        <rFont val="Carlito"/>
      </rPr>
      <t>Management reporting</t>
    </r>
    <r>
      <rPr>
        <sz val="10"/>
        <rFont val="Carlito"/>
      </rPr>
      <t>.</t>
    </r>
  </si>
  <si>
    <r>
      <t>Replaced</t>
    </r>
    <r>
      <rPr>
        <b/>
        <sz val="10"/>
        <rFont val="Carlito"/>
      </rPr>
      <t xml:space="preserve"> manual processing </t>
    </r>
    <r>
      <rPr>
        <sz val="10"/>
        <rFont val="Carlito"/>
      </rPr>
      <t>with an</t>
    </r>
    <r>
      <rPr>
        <b/>
        <sz val="10"/>
        <rFont val="Carlito"/>
      </rPr>
      <t xml:space="preserve"> automated</t>
    </r>
    <r>
      <rPr>
        <sz val="10"/>
        <rFont val="Carlito"/>
      </rPr>
      <t xml:space="preserve"> </t>
    </r>
    <r>
      <rPr>
        <b/>
        <sz val="10"/>
        <rFont val="Carlito"/>
      </rPr>
      <t xml:space="preserve">weekly fulfillment process.
</t>
    </r>
    <r>
      <rPr>
        <sz val="10"/>
        <rFont val="Carlito"/>
      </rPr>
      <t xml:space="preserve">Established </t>
    </r>
    <r>
      <rPr>
        <b/>
        <sz val="10"/>
        <rFont val="Carlito"/>
      </rPr>
      <t>process control</t>
    </r>
    <r>
      <rPr>
        <sz val="10"/>
        <rFont val="Carlito"/>
      </rPr>
      <t xml:space="preserve"> and </t>
    </r>
    <r>
      <rPr>
        <b/>
        <sz val="10"/>
        <rFont val="Carlito"/>
      </rPr>
      <t>traceability</t>
    </r>
    <r>
      <rPr>
        <sz val="10"/>
        <rFont val="Carlito"/>
      </rPr>
      <t xml:space="preserve"> through a </t>
    </r>
    <r>
      <rPr>
        <b/>
        <sz val="10"/>
        <rFont val="Carlito"/>
      </rPr>
      <t>consolidated data flow</t>
    </r>
    <r>
      <rPr>
        <sz val="10"/>
        <rFont val="Carlito"/>
      </rPr>
      <t xml:space="preserve">.
Generated downstream </t>
    </r>
    <r>
      <rPr>
        <b/>
        <sz val="10"/>
        <rFont val="Carlito"/>
      </rPr>
      <t>outputs</t>
    </r>
    <r>
      <rPr>
        <sz val="10"/>
        <rFont val="Carlito"/>
      </rPr>
      <t xml:space="preserve"> for </t>
    </r>
    <r>
      <rPr>
        <b/>
        <sz val="10"/>
        <rFont val="Carlito"/>
      </rPr>
      <t>Operations</t>
    </r>
    <r>
      <rPr>
        <sz val="10"/>
        <rFont val="Carlito"/>
      </rPr>
      <t xml:space="preserve">, </t>
    </r>
    <r>
      <rPr>
        <b/>
        <sz val="10"/>
        <rFont val="Carlito"/>
      </rPr>
      <t>Quality</t>
    </r>
    <r>
      <rPr>
        <sz val="10"/>
        <rFont val="Carlito"/>
      </rPr>
      <t xml:space="preserve">, </t>
    </r>
    <r>
      <rPr>
        <b/>
        <sz val="10"/>
        <rFont val="Carlito"/>
      </rPr>
      <t>Marketing</t>
    </r>
    <r>
      <rPr>
        <sz val="10"/>
        <rFont val="Carlito"/>
      </rPr>
      <t xml:space="preserve"> and </t>
    </r>
    <r>
      <rPr>
        <b/>
        <sz val="10"/>
        <rFont val="Carlito"/>
      </rPr>
      <t>Management</t>
    </r>
    <r>
      <rPr>
        <sz val="10"/>
        <rFont val="Carlito"/>
      </rPr>
      <t xml:space="preserve">.
</t>
    </r>
  </si>
  <si>
    <r>
      <t xml:space="preserve">The source system </t>
    </r>
    <r>
      <rPr>
        <b/>
        <sz val="10"/>
        <rFont val="Carlito"/>
      </rPr>
      <t>exports</t>
    </r>
    <r>
      <rPr>
        <sz val="10"/>
        <rFont val="Carlito"/>
      </rPr>
      <t xml:space="preserve"> the </t>
    </r>
    <r>
      <rPr>
        <b/>
        <sz val="10"/>
        <rFont val="Carlito"/>
      </rPr>
      <t>full order dataset</t>
    </r>
    <r>
      <rPr>
        <sz val="10"/>
        <rFont val="Carlito"/>
      </rPr>
      <t xml:space="preserve"> as a </t>
    </r>
    <r>
      <rPr>
        <b/>
        <sz val="10"/>
        <rFont val="Carlito"/>
      </rPr>
      <t>CSV.</t>
    </r>
    <r>
      <rPr>
        <sz val="10"/>
        <rFont val="Carlito"/>
      </rPr>
      <t xml:space="preserve">
Due to UTF-8 / Windows-1252 </t>
    </r>
    <r>
      <rPr>
        <b/>
        <sz val="10"/>
        <rFont val="Carlito"/>
      </rPr>
      <t>encoding</t>
    </r>
    <r>
      <rPr>
        <sz val="10"/>
        <rFont val="Carlito"/>
      </rPr>
      <t xml:space="preserve"> </t>
    </r>
    <r>
      <rPr>
        <b/>
        <sz val="10"/>
        <rFont val="Carlito"/>
      </rPr>
      <t>differences</t>
    </r>
    <r>
      <rPr>
        <sz val="10"/>
        <rFont val="Carlito"/>
      </rPr>
      <t xml:space="preserve">, some </t>
    </r>
    <r>
      <rPr>
        <b/>
        <sz val="10"/>
        <rFont val="Carlito"/>
      </rPr>
      <t>special characters</t>
    </r>
    <r>
      <rPr>
        <sz val="10"/>
        <rFont val="Carlito"/>
      </rPr>
      <t xml:space="preserve"> are </t>
    </r>
    <r>
      <rPr>
        <b/>
        <sz val="10"/>
        <rFont val="Carlito"/>
      </rPr>
      <t>misinterpreted</t>
    </r>
    <r>
      <rPr>
        <sz val="10"/>
        <rFont val="Carlito"/>
      </rPr>
      <t>.</t>
    </r>
  </si>
  <si>
    <t>ETL – Extract Stage</t>
  </si>
  <si>
    <t>Control Panel</t>
  </si>
  <si>
    <t>Weekly Batch Setup</t>
  </si>
  <si>
    <t>e.g. YYYY-W##</t>
  </si>
  <si>
    <t>First OrderID of the current batch</t>
  </si>
  <si>
    <r>
      <t xml:space="preserve">The Extract stage performs </t>
    </r>
    <r>
      <rPr>
        <b/>
        <sz val="10"/>
        <rFont val="Carlito"/>
      </rPr>
      <t>ingestion</t>
    </r>
    <r>
      <rPr>
        <sz val="10"/>
        <rFont val="Carlito"/>
      </rPr>
      <t xml:space="preserve"> only. Source values are preserved as received, including any </t>
    </r>
    <r>
      <rPr>
        <b/>
        <sz val="10"/>
        <rFont val="Carlito"/>
      </rPr>
      <t>character-encoding issues</t>
    </r>
    <r>
      <rPr>
        <sz val="10"/>
        <rFont val="Carlito"/>
      </rPr>
      <t>.</t>
    </r>
  </si>
  <si>
    <r>
      <t xml:space="preserve">The control panel defines the </t>
    </r>
    <r>
      <rPr>
        <b/>
        <sz val="10"/>
        <rFont val="Carlito"/>
      </rPr>
      <t>weekly batch</t>
    </r>
    <r>
      <rPr>
        <sz val="10"/>
        <rFont val="Carlito"/>
      </rPr>
      <t xml:space="preserve"> and imports the </t>
    </r>
    <r>
      <rPr>
        <b/>
        <sz val="10"/>
        <rFont val="Carlito"/>
      </rPr>
      <t>latest full CSV extract</t>
    </r>
    <r>
      <rPr>
        <sz val="10"/>
        <rFont val="Carlito"/>
      </rPr>
      <t xml:space="preserve"> into the workbook.</t>
    </r>
  </si>
  <si>
    <t>Dynamic, Scalable &amp; Maintainable Data Import</t>
  </si>
  <si>
    <r>
      <t xml:space="preserve">The raw dataset is loaded into a </t>
    </r>
    <r>
      <rPr>
        <b/>
        <sz val="11"/>
        <rFont val="Carlito"/>
      </rPr>
      <t>dynamic</t>
    </r>
    <r>
      <rPr>
        <sz val="11"/>
        <rFont val="Carlito"/>
      </rPr>
      <t xml:space="preserve"> Excel Table that </t>
    </r>
    <r>
      <rPr>
        <b/>
        <sz val="11"/>
        <rFont val="Carlito"/>
      </rPr>
      <t>resizes</t>
    </r>
    <r>
      <rPr>
        <sz val="11"/>
        <rFont val="Carlito"/>
      </rPr>
      <t xml:space="preserve"> with each import.
Existing rows are </t>
    </r>
    <r>
      <rPr>
        <b/>
        <sz val="11"/>
        <rFont val="Carlito"/>
      </rPr>
      <t>cleaned</t>
    </r>
    <r>
      <rPr>
        <sz val="11"/>
        <rFont val="Carlito"/>
      </rPr>
      <t xml:space="preserve"> and </t>
    </r>
    <r>
      <rPr>
        <b/>
        <sz val="11"/>
        <rFont val="Carlito"/>
      </rPr>
      <t>replaced</t>
    </r>
    <r>
      <rPr>
        <sz val="11"/>
        <rFont val="Carlito"/>
      </rPr>
      <t xml:space="preserve"> while the </t>
    </r>
    <r>
      <rPr>
        <b/>
        <sz val="11"/>
        <rFont val="Carlito"/>
      </rPr>
      <t>table structure</t>
    </r>
    <r>
      <rPr>
        <sz val="11"/>
        <rFont val="Carlito"/>
      </rPr>
      <t xml:space="preserve"> and </t>
    </r>
    <r>
      <rPr>
        <b/>
        <sz val="11"/>
        <rFont val="Carlito"/>
      </rPr>
      <t>headers</t>
    </r>
    <r>
      <rPr>
        <sz val="11"/>
        <rFont val="Carlito"/>
      </rPr>
      <t xml:space="preserve"> are </t>
    </r>
    <r>
      <rPr>
        <b/>
        <sz val="11"/>
        <rFont val="Carlito"/>
      </rPr>
      <t>preserved</t>
    </r>
    <r>
      <rPr>
        <sz val="11"/>
        <rFont val="Carlito"/>
      </rPr>
      <t xml:space="preserve">.
The import </t>
    </r>
    <r>
      <rPr>
        <b/>
        <sz val="11"/>
        <rFont val="Carlito"/>
      </rPr>
      <t>verifies</t>
    </r>
    <r>
      <rPr>
        <sz val="11"/>
        <rFont val="Carlito"/>
      </rPr>
      <t xml:space="preserve"> the expected </t>
    </r>
    <r>
      <rPr>
        <b/>
        <sz val="11"/>
        <rFont val="Carlito"/>
      </rPr>
      <t>source structure</t>
    </r>
    <r>
      <rPr>
        <sz val="11"/>
        <rFont val="Carlito"/>
      </rPr>
      <t xml:space="preserve">, supporting a </t>
    </r>
    <r>
      <rPr>
        <b/>
        <sz val="11"/>
        <rFont val="Carlito"/>
      </rPr>
      <t>robust</t>
    </r>
    <r>
      <rPr>
        <sz val="11"/>
        <rFont val="Carlito"/>
      </rPr>
      <t xml:space="preserve"> and </t>
    </r>
    <r>
      <rPr>
        <b/>
        <sz val="11"/>
        <rFont val="Carlito"/>
      </rPr>
      <t>maintainable</t>
    </r>
    <r>
      <rPr>
        <sz val="11"/>
        <rFont val="Carlito"/>
      </rPr>
      <t xml:space="preserve"> workflow.</t>
    </r>
  </si>
  <si>
    <t>Field</t>
  </si>
  <si>
    <t>Encoding Repair Examples</t>
  </si>
  <si>
    <t>Scalable &amp; Maintainable Text Transformation</t>
  </si>
  <si>
    <t>→</t>
  </si>
  <si>
    <t>ETL – Transform Stage</t>
  </si>
  <si>
    <r>
      <t xml:space="preserve">The Transform stage </t>
    </r>
    <r>
      <rPr>
        <b/>
        <sz val="10"/>
        <rFont val="Carlito"/>
      </rPr>
      <t>corrects</t>
    </r>
    <r>
      <rPr>
        <sz val="10"/>
        <rFont val="Carlito"/>
      </rPr>
      <t xml:space="preserve"> known </t>
    </r>
    <r>
      <rPr>
        <b/>
        <sz val="10"/>
        <rFont val="Carlito"/>
      </rPr>
      <t>UTF-8</t>
    </r>
    <r>
      <rPr>
        <sz val="10"/>
        <rFont val="Carlito"/>
      </rPr>
      <t xml:space="preserve"> / </t>
    </r>
    <r>
      <rPr>
        <b/>
        <sz val="10"/>
        <rFont val="Carlito"/>
      </rPr>
      <t>Windows-1252</t>
    </r>
    <r>
      <rPr>
        <sz val="10"/>
        <rFont val="Carlito"/>
      </rPr>
      <t xml:space="preserve"> </t>
    </r>
    <r>
      <rPr>
        <b/>
        <sz val="10"/>
        <rFont val="Carlito"/>
      </rPr>
      <t>encoding issues</t>
    </r>
    <r>
      <rPr>
        <sz val="10"/>
        <rFont val="Carlito"/>
      </rPr>
      <t xml:space="preserve"> in the imported raw data. </t>
    </r>
  </si>
  <si>
    <t>Extract – Imported Raw Data</t>
  </si>
  <si>
    <r>
      <t xml:space="preserve">The control panel reads the </t>
    </r>
    <r>
      <rPr>
        <b/>
        <sz val="10"/>
        <rFont val="Carlito"/>
      </rPr>
      <t>Extract – Imported Raw Data table</t>
    </r>
    <r>
      <rPr>
        <sz val="10"/>
        <rFont val="Carlito"/>
      </rPr>
      <t xml:space="preserve">, </t>
    </r>
    <r>
      <rPr>
        <b/>
        <sz val="10"/>
        <rFont val="Carlito"/>
      </rPr>
      <t>repairs</t>
    </r>
    <r>
      <rPr>
        <sz val="10"/>
        <rFont val="Carlito"/>
      </rPr>
      <t xml:space="preserve"> </t>
    </r>
    <r>
      <rPr>
        <b/>
        <sz val="10"/>
        <rFont val="Carlito"/>
      </rPr>
      <t>text encoding</t>
    </r>
    <r>
      <rPr>
        <sz val="10"/>
        <rFont val="Carlito"/>
      </rPr>
      <t xml:space="preserve"> and writes the corrected dataset to Transformed table.</t>
    </r>
  </si>
  <si>
    <r>
      <t>The transformation uses a</t>
    </r>
    <r>
      <rPr>
        <b/>
        <sz val="11"/>
        <rFont val="Carlito"/>
      </rPr>
      <t xml:space="preserve"> VBA array</t>
    </r>
    <r>
      <rPr>
        <sz val="11"/>
        <rFont val="Carlito"/>
      </rPr>
      <t xml:space="preserve"> for </t>
    </r>
    <r>
      <rPr>
        <b/>
        <sz val="11"/>
        <rFont val="Carlito"/>
      </rPr>
      <t xml:space="preserve">in-memory processing.
</t>
    </r>
    <r>
      <rPr>
        <sz val="11"/>
        <rFont val="Carlito"/>
      </rPr>
      <t xml:space="preserve">Known </t>
    </r>
    <r>
      <rPr>
        <b/>
        <sz val="11"/>
        <rFont val="Carlito"/>
      </rPr>
      <t>mojibake patterns</t>
    </r>
    <r>
      <rPr>
        <sz val="11"/>
        <rFont val="Carlito"/>
      </rPr>
      <t xml:space="preserve"> are </t>
    </r>
    <r>
      <rPr>
        <b/>
        <sz val="11"/>
        <rFont val="Carlito"/>
      </rPr>
      <t>corrected</t>
    </r>
    <r>
      <rPr>
        <sz val="11"/>
        <rFont val="Carlito"/>
      </rPr>
      <t xml:space="preserve"> in </t>
    </r>
    <r>
      <rPr>
        <b/>
        <sz val="11"/>
        <rFont val="Carlito"/>
      </rPr>
      <t>memory</t>
    </r>
    <r>
      <rPr>
        <sz val="11"/>
        <rFont val="Carlito"/>
      </rPr>
      <t xml:space="preserve">, and the transformed dataset is written in a </t>
    </r>
    <r>
      <rPr>
        <b/>
        <sz val="11"/>
        <rFont val="Carlito"/>
      </rPr>
      <t>single</t>
    </r>
    <r>
      <rPr>
        <sz val="11"/>
        <rFont val="Carlito"/>
      </rPr>
      <t xml:space="preserve"> </t>
    </r>
    <r>
      <rPr>
        <b/>
        <sz val="11"/>
        <rFont val="Carlito"/>
      </rPr>
      <t>bulk operation</t>
    </r>
    <r>
      <rPr>
        <sz val="11"/>
        <rFont val="Carlito"/>
      </rPr>
      <t xml:space="preserve">.
This </t>
    </r>
    <r>
      <rPr>
        <b/>
        <sz val="11"/>
        <rFont val="Carlito"/>
      </rPr>
      <t>architecture</t>
    </r>
    <r>
      <rPr>
        <sz val="11"/>
        <rFont val="Carlito"/>
      </rPr>
      <t xml:space="preserve"> </t>
    </r>
    <r>
      <rPr>
        <b/>
        <sz val="11"/>
        <rFont val="Carlito"/>
      </rPr>
      <t>avoids cell-by-cell processing</t>
    </r>
    <r>
      <rPr>
        <sz val="11"/>
        <rFont val="Carlito"/>
      </rPr>
      <t xml:space="preserve"> and </t>
    </r>
    <r>
      <rPr>
        <b/>
        <sz val="11"/>
        <rFont val="Carlito"/>
      </rPr>
      <t>supports</t>
    </r>
    <r>
      <rPr>
        <sz val="11"/>
        <rFont val="Carlito"/>
      </rPr>
      <t xml:space="preserve"> a </t>
    </r>
    <r>
      <rPr>
        <b/>
        <sz val="11"/>
        <rFont val="Carlito"/>
      </rPr>
      <t>scalable</t>
    </r>
    <r>
      <rPr>
        <sz val="11"/>
        <rFont val="Carlito"/>
      </rPr>
      <t xml:space="preserve"> and </t>
    </r>
    <r>
      <rPr>
        <b/>
        <sz val="11"/>
        <rFont val="Carlito"/>
      </rPr>
      <t>maintainable</t>
    </r>
    <r>
      <rPr>
        <sz val="11"/>
        <rFont val="Carlito"/>
      </rPr>
      <t xml:space="preserve"> </t>
    </r>
    <r>
      <rPr>
        <b/>
        <sz val="11"/>
        <rFont val="Carlito"/>
      </rPr>
      <t>transformation</t>
    </r>
    <r>
      <rPr>
        <sz val="11"/>
        <rFont val="Carlito"/>
      </rPr>
      <t xml:space="preserve"> </t>
    </r>
    <r>
      <rPr>
        <b/>
        <sz val="11"/>
        <rFont val="Carlito"/>
      </rPr>
      <t>layer</t>
    </r>
    <r>
      <rPr>
        <sz val="11"/>
        <rFont val="Carlito"/>
      </rPr>
      <t>.</t>
    </r>
  </si>
  <si>
    <t>Batch Classification</t>
  </si>
  <si>
    <t>ETL – Transform | Business Rules</t>
  </si>
  <si>
    <t>EXTRACT Raw Data | Representative Extract Sample</t>
  </si>
  <si>
    <t>Extract | Control Panel</t>
  </si>
  <si>
    <t>Transform Encoding Repair  | Control Panel</t>
  </si>
  <si>
    <t>Transform  Business Rules | Control Panel</t>
  </si>
  <si>
    <t>Transform Encoding Repaired</t>
  </si>
  <si>
    <t>In-Memory Processing Architecture</t>
  </si>
  <si>
    <t>Name</t>
  </si>
  <si>
    <t>Logic Applied</t>
  </si>
  <si>
    <r>
      <t xml:space="preserve">Defines the </t>
    </r>
    <r>
      <rPr>
        <b/>
        <sz val="11"/>
        <rFont val="Carlito"/>
      </rPr>
      <t>weekly processing scope</t>
    </r>
    <r>
      <rPr>
        <sz val="11"/>
        <rFont val="Carlito"/>
      </rPr>
      <t xml:space="preserve"> using the </t>
    </r>
    <r>
      <rPr>
        <b/>
        <sz val="11"/>
        <rFont val="Carlito"/>
      </rPr>
      <t>user-defined batch</t>
    </r>
    <r>
      <rPr>
        <sz val="11"/>
        <rFont val="Carlito"/>
      </rPr>
      <t xml:space="preserve"> threshold.</t>
    </r>
    <r>
      <rPr>
        <sz val="11"/>
        <rFont val="Carlito"/>
      </rPr>
      <t xml:space="preserve">
OrderID &lt; BatchStartOrderID → Historical
OrderID ≥ BatchStartOrderID → Current</t>
    </r>
  </si>
  <si>
    <r>
      <t xml:space="preserve">Checks for a </t>
    </r>
    <r>
      <rPr>
        <b/>
        <sz val="11"/>
        <rFont val="Carlito"/>
      </rPr>
      <t>matching Valid historical record</t>
    </r>
    <r>
      <rPr>
        <sz val="11"/>
        <rFont val="Carlito"/>
      </rPr>
      <t xml:space="preserve"> using the normalized customer/address key.
Valid historical match → HistoricalDuplicate = Yes
No Valid historical match → HistoricalDuplicate = No</t>
    </r>
  </si>
  <si>
    <r>
      <t xml:space="preserve">Identifies </t>
    </r>
    <r>
      <rPr>
        <b/>
        <sz val="11"/>
        <rFont val="Carlito"/>
      </rPr>
      <t>repeated Valid submissions</t>
    </r>
    <r>
      <rPr>
        <sz val="11"/>
        <rFont val="Carlito"/>
      </rPr>
      <t xml:space="preserve"> for the same normalized customer/address key within the </t>
    </r>
    <r>
      <rPr>
        <b/>
        <sz val="11"/>
        <rFont val="Carlito"/>
      </rPr>
      <t>current batch</t>
    </r>
    <r>
      <rPr>
        <sz val="11"/>
        <rFont val="Carlito"/>
      </rPr>
      <t>.
Lowest Valid OrderID → Retained
Later Valid OrderIDs → CurrentBatchDuplicate = Yes</t>
    </r>
  </si>
  <si>
    <t>Country Eligibility</t>
  </si>
  <si>
    <r>
      <t xml:space="preserve">Checks whether the </t>
    </r>
    <r>
      <rPr>
        <b/>
        <sz val="11"/>
        <rFont val="Carlito"/>
      </rPr>
      <t>delivery</t>
    </r>
    <r>
      <rPr>
        <sz val="11"/>
        <rFont val="Carlito"/>
      </rPr>
      <t xml:space="preserve"> </t>
    </r>
    <r>
      <rPr>
        <b/>
        <sz val="11"/>
        <rFont val="Carlito"/>
      </rPr>
      <t>country</t>
    </r>
    <r>
      <rPr>
        <sz val="11"/>
        <rFont val="Carlito"/>
      </rPr>
      <t xml:space="preserve"> meets the campaign requirement.
Country = Germany → CountryEligible = Yes
Country ≠ Germany → CountryEligible = No</t>
    </r>
  </si>
  <si>
    <t>EligibilityStatus</t>
  </si>
  <si>
    <t>Explanation</t>
  </si>
  <si>
    <t>Eligible for Fulfillment</t>
  </si>
  <si>
    <t>Invalid Submission</t>
  </si>
  <si>
    <t>Transform – SingleSourceTruth</t>
  </si>
  <si>
    <r>
      <t xml:space="preserve">The control panel applies the </t>
    </r>
    <r>
      <rPr>
        <b/>
        <sz val="10"/>
        <rFont val="Carlito"/>
      </rPr>
      <t>business rules</t>
    </r>
    <r>
      <rPr>
        <sz val="10"/>
        <rFont val="Carlito"/>
      </rPr>
      <t xml:space="preserve"> to </t>
    </r>
    <r>
      <rPr>
        <b/>
        <sz val="10"/>
        <rFont val="Carlito"/>
      </rPr>
      <t>Transform Encoding Repaired table</t>
    </r>
    <r>
      <rPr>
        <sz val="10"/>
        <rFont val="Carlito"/>
      </rPr>
      <t xml:space="preserve"> and writes the processed results to </t>
    </r>
    <r>
      <rPr>
        <b/>
        <sz val="10"/>
        <rFont val="Carlito"/>
      </rPr>
      <t>Transform – SingleSourceTruth table.</t>
    </r>
  </si>
  <si>
    <t>Validation Status</t>
  </si>
  <si>
    <r>
      <rPr>
        <b/>
        <sz val="11"/>
        <rFont val="Carlito"/>
      </rPr>
      <t>N/A</t>
    </r>
    <r>
      <rPr>
        <sz val="11"/>
        <rFont val="Carlito"/>
      </rPr>
      <t xml:space="preserve"> indicates that a rule </t>
    </r>
    <r>
      <rPr>
        <b/>
        <sz val="11"/>
        <rFont val="Carlito"/>
      </rPr>
      <t>was not evaluated</t>
    </r>
    <r>
      <rPr>
        <sz val="11"/>
        <rFont val="Carlito"/>
      </rPr>
      <t xml:space="preserve"> because a </t>
    </r>
    <r>
      <rPr>
        <b/>
        <sz val="11"/>
        <rFont val="Carlito"/>
      </rPr>
      <t>higher-priority rule had already determined</t>
    </r>
    <r>
      <rPr>
        <sz val="11"/>
        <rFont val="Carlito"/>
      </rPr>
      <t xml:space="preserve"> the record outcome.</t>
    </r>
  </si>
  <si>
    <r>
      <rPr>
        <b/>
        <sz val="11"/>
        <rFont val="Carlito"/>
      </rPr>
      <t>OrderValidationStatus</t>
    </r>
    <r>
      <rPr>
        <sz val="11"/>
        <rFont val="Carlito"/>
      </rPr>
      <t xml:space="preserve"> defines whether the submission is valid.</t>
    </r>
  </si>
  <si>
    <r>
      <t xml:space="preserve">Rules are evaluated </t>
    </r>
    <r>
      <rPr>
        <b/>
        <sz val="11"/>
        <rFont val="Carlito"/>
      </rPr>
      <t>sequentially</t>
    </r>
    <r>
      <rPr>
        <sz val="11"/>
        <rFont val="Carlito"/>
      </rPr>
      <t xml:space="preserve"> according to a </t>
    </r>
    <r>
      <rPr>
        <b/>
        <sz val="11"/>
        <rFont val="Carlito"/>
      </rPr>
      <t>business priority</t>
    </r>
    <r>
      <rPr>
        <sz val="11"/>
        <rFont val="Carlito"/>
      </rPr>
      <t xml:space="preserve">. Once a </t>
    </r>
    <r>
      <rPr>
        <b/>
        <sz val="11"/>
        <rFont val="Carlito"/>
      </rPr>
      <t>blocking</t>
    </r>
    <r>
      <rPr>
        <sz val="11"/>
        <rFont val="Carlito"/>
      </rPr>
      <t xml:space="preserve"> </t>
    </r>
    <r>
      <rPr>
        <b/>
        <sz val="11"/>
        <rFont val="Carlito"/>
      </rPr>
      <t>condition</t>
    </r>
    <r>
      <rPr>
        <sz val="11"/>
        <rFont val="Carlito"/>
      </rPr>
      <t xml:space="preserve"> is identified, processing for that record </t>
    </r>
    <r>
      <rPr>
        <b/>
        <sz val="11"/>
        <rFont val="Carlito"/>
      </rPr>
      <t>stops</t>
    </r>
    <r>
      <rPr>
        <sz val="11"/>
        <rFont val="Carlito"/>
      </rPr>
      <t xml:space="preserve"> and </t>
    </r>
    <r>
      <rPr>
        <b/>
        <sz val="11"/>
        <rFont val="Carlito"/>
      </rPr>
      <t>lower-priority rules</t>
    </r>
    <r>
      <rPr>
        <sz val="11"/>
        <rFont val="Carlito"/>
      </rPr>
      <t xml:space="preserve"> are</t>
    </r>
    <r>
      <rPr>
        <b/>
        <sz val="11"/>
        <rFont val="Carlito"/>
      </rPr>
      <t xml:space="preserve"> not evaluated</t>
    </r>
    <r>
      <rPr>
        <sz val="11"/>
        <rFont val="Carlito"/>
      </rPr>
      <t xml:space="preserve">. 
This </t>
    </r>
    <r>
      <rPr>
        <b/>
        <sz val="11"/>
        <rFont val="Carlito"/>
      </rPr>
      <t>short-circuit</t>
    </r>
    <r>
      <rPr>
        <sz val="11"/>
        <rFont val="Carlito"/>
      </rPr>
      <t xml:space="preserve"> approach avoids unnecessary checks and produces exclusive fulfillment outcomes, </t>
    </r>
    <r>
      <rPr>
        <b/>
        <sz val="11"/>
        <rFont val="Carlito"/>
      </rPr>
      <t>simplifying reconciliation</t>
    </r>
    <r>
      <rPr>
        <sz val="11"/>
        <rFont val="Carlito"/>
      </rPr>
      <t>.</t>
    </r>
  </si>
  <si>
    <r>
      <t>OrderValidationStatus = Invalid</t>
    </r>
    <r>
      <rPr>
        <sz val="11"/>
        <rFont val="Carlito"/>
      </rPr>
      <t xml:space="preserve"> → Not Eligible</t>
    </r>
  </si>
  <si>
    <r>
      <t>OrderValidationStatus = Valid</t>
    </r>
    <r>
      <rPr>
        <sz val="11"/>
        <rFont val="Carlito"/>
      </rPr>
      <t xml:space="preserve"> → Eligible</t>
    </r>
  </si>
  <si>
    <r>
      <rPr>
        <b/>
        <sz val="11"/>
        <rFont val="Carlito"/>
      </rPr>
      <t>VBA arrays</t>
    </r>
    <r>
      <rPr>
        <sz val="11"/>
        <rFont val="Carlito"/>
      </rPr>
      <t xml:space="preserve"> process the dataset in </t>
    </r>
    <r>
      <rPr>
        <b/>
        <sz val="11"/>
        <rFont val="Carlito"/>
      </rPr>
      <t>memory</t>
    </r>
    <r>
      <rPr>
        <sz val="11"/>
        <rFont val="Carlito"/>
      </rPr>
      <t xml:space="preserve">, while </t>
    </r>
    <r>
      <rPr>
        <b/>
        <sz val="11"/>
        <rFont val="Carlito"/>
      </rPr>
      <t>Scripting</t>
    </r>
    <r>
      <rPr>
        <sz val="11"/>
        <rFont val="Carlito"/>
      </rPr>
      <t>.</t>
    </r>
    <r>
      <rPr>
        <b/>
        <sz val="11"/>
        <rFont val="Carlito"/>
      </rPr>
      <t>Dictionary</t>
    </r>
    <r>
      <rPr>
        <sz val="11"/>
        <rFont val="Carlito"/>
      </rPr>
      <t xml:space="preserve"> enables </t>
    </r>
    <r>
      <rPr>
        <b/>
        <sz val="11"/>
        <rFont val="Carlito"/>
      </rPr>
      <t>fast</t>
    </r>
    <r>
      <rPr>
        <sz val="11"/>
        <rFont val="Carlito"/>
      </rPr>
      <t xml:space="preserve"> customer/address matching and duplicate lookup.</t>
    </r>
  </si>
  <si>
    <r>
      <t xml:space="preserve">This stage executes the </t>
    </r>
    <r>
      <rPr>
        <b/>
        <sz val="10"/>
        <rFont val="Carlito"/>
      </rPr>
      <t>business-rule workflow</t>
    </r>
    <r>
      <rPr>
        <sz val="10"/>
        <rFont val="Carlito"/>
      </rPr>
      <t xml:space="preserve">, applying the defined </t>
    </r>
    <r>
      <rPr>
        <b/>
        <sz val="10"/>
        <rFont val="Carlito"/>
      </rPr>
      <t>classification</t>
    </r>
    <r>
      <rPr>
        <sz val="10"/>
        <rFont val="Carlito"/>
      </rPr>
      <t xml:space="preserve">, </t>
    </r>
    <r>
      <rPr>
        <b/>
        <sz val="10"/>
        <rFont val="Carlito"/>
      </rPr>
      <t>validation</t>
    </r>
    <r>
      <rPr>
        <sz val="10"/>
        <rFont val="Carlito"/>
      </rPr>
      <t xml:space="preserve">, </t>
    </r>
    <r>
      <rPr>
        <b/>
        <sz val="10"/>
        <rFont val="Carlito"/>
      </rPr>
      <t>eligibility</t>
    </r>
    <r>
      <rPr>
        <sz val="10"/>
        <rFont val="Carlito"/>
      </rPr>
      <t xml:space="preserve"> and </t>
    </r>
    <r>
      <rPr>
        <b/>
        <sz val="10"/>
        <rFont val="Carlito"/>
      </rPr>
      <t>duplicate-control logic</t>
    </r>
    <r>
      <rPr>
        <sz val="10"/>
        <rFont val="Carlito"/>
      </rPr>
      <t xml:space="preserve"> to the encoding-corrected dataset. 
The processed results are consolidated into the </t>
    </r>
    <r>
      <rPr>
        <b/>
        <u/>
        <sz val="10"/>
        <rFont val="Carlito"/>
      </rPr>
      <t>Single Source Of Truth</t>
    </r>
    <r>
      <rPr>
        <sz val="10"/>
        <rFont val="Carlito"/>
      </rPr>
      <t xml:space="preserve">, the final trusted dataset for downstream fulfillment and reporting.
</t>
    </r>
  </si>
  <si>
    <t>LOAD | Weekly Fulfillment Summary</t>
  </si>
  <si>
    <t>Weekly Batch Overview</t>
  </si>
  <si>
    <t>Mutually Exclusive Fulfillment Outcomes</t>
  </si>
  <si>
    <t>Outcome</t>
  </si>
  <si>
    <t>Orders</t>
  </si>
  <si>
    <t>% of New Orders</t>
  </si>
  <si>
    <t>Reconciliation</t>
  </si>
  <si>
    <t>Level 1 | New Orders</t>
  </si>
  <si>
    <t>Valid + Invalid</t>
  </si>
  <si>
    <t>Difference</t>
  </si>
  <si>
    <t>Level 2 | Valid Submissions</t>
  </si>
  <si>
    <t>Eligible + Country + Historical Dup. + Current Dup.</t>
  </si>
  <si>
    <t>Eligible Fulfillment by Product</t>
  </si>
  <si>
    <t>Product</t>
  </si>
  <si>
    <t>Eligible Orders</t>
  </si>
  <si>
    <t>% of Eligible</t>
  </si>
  <si>
    <t>Product Reconciliation</t>
  </si>
  <si>
    <t>This summary is independent of AnalyticsConsent. The outcome categories are mutually exclusive because business rules stop at the first blocking condition.</t>
  </si>
  <si>
    <t>LOAD | Fulfillment Orders</t>
  </si>
  <si>
    <t>Dynamic view sourced directly from OrdersSingleSourceOfTruth.</t>
  </si>
  <si>
    <t>LOAD | Product A Fulfillment</t>
  </si>
  <si>
    <t>LOAD | Product B Fulfillment</t>
  </si>
  <si>
    <t>LOAD | Product C Fulfillment</t>
  </si>
  <si>
    <t>LOAD | Product D Fulfillment</t>
  </si>
  <si>
    <t>LOAD | Product E Fulfillment</t>
  </si>
  <si>
    <t>LOAD | Export Control Panel</t>
  </si>
  <si>
    <t>Select Output Sheets</t>
  </si>
  <si>
    <t>Choose the sheets to include in the export. The export workbook is intended to be saved as a standard .xlsx file with values only and no macros.</t>
  </si>
  <si>
    <t>Export?</t>
  </si>
  <si>
    <t>Sheet Name</t>
  </si>
  <si>
    <t>Purpose</t>
  </si>
  <si>
    <t>☑</t>
  </si>
  <si>
    <t>Summary</t>
  </si>
  <si>
    <t>Weekly fulfillment overview</t>
  </si>
  <si>
    <t>Load – Fulfillment Orders</t>
  </si>
  <si>
    <t>All eligible orders</t>
  </si>
  <si>
    <t>Load – Product A</t>
  </si>
  <si>
    <t>Eligible Product A orders</t>
  </si>
  <si>
    <t>Load – Product B</t>
  </si>
  <si>
    <t>Eligible Product B orders</t>
  </si>
  <si>
    <t>Load – Product C</t>
  </si>
  <si>
    <t>Eligible Product C orders</t>
  </si>
  <si>
    <t>Export file</t>
  </si>
  <si>
    <t>Load – Product D</t>
  </si>
  <si>
    <t>Eligible Product D orders</t>
  </si>
  <si>
    <t>Load – Product E</t>
  </si>
  <si>
    <t>Eligible Product E orders</t>
  </si>
  <si>
    <t>The blue export control is pre-positioned for the ExportSelectedSheets VBA procedure supplied with this workbook package.</t>
  </si>
  <si>
    <t>PROJECT | Findings &amp; Improvement Opportunities</t>
  </si>
  <si>
    <t>Key Process Conclusions</t>
  </si>
  <si>
    <t>The workflow converts a large weekly source extract into a controlled Single Source of Truth through staged ETL processing, in-memory transformation and hierarchical short-circuit business rules.</t>
  </si>
  <si>
    <t>Business Analysis Findings</t>
  </si>
  <si>
    <t>Observed Bottleneck</t>
  </si>
  <si>
    <t>Operational Risk / Limitation</t>
  </si>
  <si>
    <t>Potential Improvement</t>
  </si>
  <si>
    <t>Manual proof-of-purchase validation</t>
  </si>
  <si>
    <t>Incorrect document types can require manual review and create avoidable processing effort.</t>
  </si>
  <si>
    <t>Improve submission guidance and introduce more structured proof-of-purchase validation.</t>
  </si>
  <si>
    <t>Duplicate detection relies on normalized name + address</t>
  </si>
  <si>
    <t>The matching key is heuristic and can create false positives or allow legitimate variations to bypass matching.</t>
  </si>
  <si>
    <t>Use a structured transaction, invoice or device identifier as the primary duplicate-control key.</t>
  </si>
  <si>
    <t>Entitlement unit is not explicitly defined</t>
  </si>
  <si>
    <t>Rules can behave differently depending on whether entitlement is per customer, household, purchase, invoice or device.</t>
  </si>
  <si>
    <t>Clarify and document the business definition of entitlement before implementing duplicate rules.</t>
  </si>
  <si>
    <t>No explicit fulfillment confirmation in the source process</t>
  </si>
  <si>
    <t>A Valid historical record is treated as fulfilled, but actual delivery status is not directly confirmed.</t>
  </si>
  <si>
    <t>Capture fulfillment status and confirmation date to close the operational feedback loop.</t>
  </si>
  <si>
    <t>Full historical dataset is processed every week</t>
  </si>
  <si>
    <t>Processing the complete history increases data volume and runtime as the campaign grows.</t>
  </si>
  <si>
    <t>Introduce incremental extracts / delta processing while retaining a historical reference layer.</t>
  </si>
  <si>
    <t>Architecture Strengths</t>
  </si>
  <si>
    <t>• Staged ETL structure separates extraction, encoding repair, business-rule evaluation and output generation.</t>
  </si>
  <si>
    <t>• VBA arrays and Scripting.Dictionary reduce repeated worksheet access and support efficient duplicate lookup.</t>
  </si>
  <si>
    <t>• Hierarchical short-circuit logic stops at the first blocking condition, avoiding unnecessary rule evaluation.</t>
  </si>
  <si>
    <t>• Mutually exclusive terminal outcomes make reconciliation and downstream reporting straightforward.</t>
  </si>
  <si>
    <t>• OrdersSingleSourceOfTruth provides one consolidated dataset for operational fulfillment and reporting outputs.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</si>
</sst>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name val="Carlito"/>
    </font>
    <font>
      <b/>
      <sz val="9"/>
      <color rgb="FFFFFFFF"/>
      <name val="Carlito"/>
    </font>
    <font>
      <sz val="9"/>
      <name val="Carlito"/>
    </font>
    <font>
      <b/>
      <sz val="11"/>
      <name val="Carlito"/>
    </font>
    <font>
      <sz val="11"/>
      <name val="Carlito"/>
    </font>
    <font>
      <b/>
      <sz val="20"/>
      <color theme="0"/>
      <name val="Carlito"/>
    </font>
    <font>
      <sz val="10"/>
      <name val="Carlito"/>
    </font>
    <font>
      <b/>
      <sz val="10"/>
      <name val="Carlito"/>
    </font>
    <font>
      <b/>
      <sz val="11"/>
      <color rgb="FF2F75B5"/>
      <name val="Carlito"/>
    </font>
    <font>
      <sz val="10"/>
      <color rgb="FF2F75B5"/>
      <name val="Carlito"/>
    </font>
    <font>
      <b/>
      <u/>
      <sz val="10"/>
      <name val="Carlito"/>
    </font>
    <font>
      <sz val="11"/>
      <color rgb="FF172033"/>
      <name val="Aptos"/>
      <family val="2"/>
    </font>
    <font>
      <b/>
      <sz val="14"/>
      <color rgb="FF172033"/>
      <name val="Aptos Display"/>
      <family val="2"/>
    </font>
    <font>
      <b/>
      <sz val="10"/>
      <color rgb="FF667085"/>
      <name val="Aptos"/>
      <family val="2"/>
    </font>
    <font>
      <b/>
      <sz val="12"/>
      <color rgb="FF172033"/>
      <name val="Aptos"/>
      <family val="2"/>
    </font>
    <font>
      <sz val="9"/>
      <color rgb="FF667085"/>
      <name val="Aptos"/>
      <family val="2"/>
    </font>
    <font>
      <b/>
      <sz val="10"/>
      <color rgb="FFFFFFFF"/>
      <name val="Aptos"/>
      <family val="2"/>
    </font>
    <font>
      <b/>
      <sz val="18"/>
      <color rgb="FF357DB7"/>
      <name val="Aptos"/>
      <family val="2"/>
    </font>
    <font>
      <sz val="10"/>
      <color rgb="FF172033"/>
      <name val="Aptos"/>
      <family val="2"/>
    </font>
    <font>
      <sz val="11"/>
      <color rgb="FF172033"/>
      <name val="Carlito"/>
    </font>
    <font>
      <b/>
      <sz val="20"/>
      <color rgb="FFFFFFFF"/>
      <name val="Aptos Display"/>
    </font>
    <font>
      <b/>
      <sz val="11"/>
      <color rgb="FF2F75B5"/>
      <name val="Aptos"/>
    </font>
    <font>
      <b/>
      <sz val="10"/>
      <color rgb="FF2F75B5"/>
      <name val="Aptos"/>
    </font>
    <font>
      <b/>
      <sz val="10"/>
      <color rgb="FF1F1F1F"/>
      <name val="Aptos"/>
    </font>
    <font>
      <b/>
      <sz val="12"/>
      <color rgb="FF1F4E78"/>
      <name val="Aptos"/>
    </font>
    <font>
      <b/>
      <sz val="12"/>
      <color rgb="FF70AD47"/>
      <name val="Aptos"/>
    </font>
    <font>
      <b/>
      <sz val="10"/>
      <color rgb="FFFFFFFF"/>
      <name val="Aptos"/>
    </font>
    <font>
      <b/>
      <sz val="10"/>
      <color rgb="FF70AD47"/>
      <name val="Aptos"/>
    </font>
    <font>
      <i/>
      <sz val="10"/>
      <color rgb="FF666666"/>
      <name val="Aptos"/>
    </font>
    <font>
      <b/>
      <sz val="9"/>
      <color rgb="FFFFFFFF"/>
      <name val="Aptos"/>
    </font>
    <font>
      <sz val="9"/>
      <color rgb="FF1F1F1F"/>
      <name val="Aptos"/>
    </font>
    <font>
      <sz val="10"/>
      <color rgb="FF1F1F1F"/>
      <name val="Aptos"/>
    </font>
    <font>
      <i/>
      <sz val="9"/>
      <color rgb="FF666666"/>
      <name val="Aptos"/>
    </font>
  </fonts>
  <fills count="20">
    <fill>
      <patternFill patternType="none"/>
    </fill>
    <fill>
      <patternFill patternType="gray125"/>
    </fill>
    <fill>
      <patternFill patternType="solid">
        <fgColor rgb="FF2F75B5"/>
      </patternFill>
    </fill>
    <fill>
      <patternFill patternType="solid">
        <fgColor rgb="FF1F6D7A"/>
      </patternFill>
    </fill>
    <fill>
      <patternFill patternType="solid">
        <fgColor rgb="FFFFFFFF"/>
      </patternFill>
    </fill>
    <fill>
      <patternFill patternType="solid">
        <fgColor rgb="FFFFFFC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9FBFD"/>
      </patternFill>
    </fill>
    <fill>
      <patternFill patternType="solid">
        <fgColor rgb="FF357DB7"/>
      </patternFill>
    </fill>
    <fill>
      <patternFill patternType="solid">
        <fgColor theme="0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2F75B5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3F7FB"/>
      </patternFill>
    </fill>
    <fill>
      <patternFill patternType="solid">
        <fgColor rgb="FFE2F0D9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2F75B5"/>
      </left>
      <right/>
      <top style="medium">
        <color rgb="FF2F75B5"/>
      </top>
      <bottom/>
      <diagonal/>
    </border>
    <border>
      <left/>
      <right/>
      <top style="medium">
        <color rgb="FF2F75B5"/>
      </top>
      <bottom/>
      <diagonal/>
    </border>
    <border>
      <left/>
      <right style="medium">
        <color rgb="FF2F75B5"/>
      </right>
      <top style="medium">
        <color rgb="FF2F75B5"/>
      </top>
      <bottom/>
      <diagonal/>
    </border>
    <border>
      <left style="medium">
        <color rgb="FF2F75B5"/>
      </left>
      <right/>
      <top/>
      <bottom/>
      <diagonal/>
    </border>
    <border>
      <left/>
      <right style="medium">
        <color rgb="FF2F75B5"/>
      </right>
      <top/>
      <bottom/>
      <diagonal/>
    </border>
    <border>
      <left style="medium">
        <color rgb="FF2F75B5"/>
      </left>
      <right/>
      <top/>
      <bottom style="medium">
        <color rgb="FF2F75B5"/>
      </bottom>
      <diagonal/>
    </border>
    <border>
      <left/>
      <right/>
      <top/>
      <bottom style="medium">
        <color rgb="FF2F75B5"/>
      </bottom>
      <diagonal/>
    </border>
    <border>
      <left/>
      <right style="medium">
        <color rgb="FF2F75B5"/>
      </right>
      <top/>
      <bottom style="medium">
        <color rgb="FF2F75B5"/>
      </bottom>
      <diagonal/>
    </border>
    <border>
      <left style="thin">
        <color rgb="FFD9E1EA"/>
      </left>
      <right/>
      <top style="thin">
        <color rgb="FFD9E1EA"/>
      </top>
      <bottom/>
      <diagonal/>
    </border>
    <border>
      <left/>
      <right/>
      <top style="thin">
        <color rgb="FFD9E1EA"/>
      </top>
      <bottom/>
      <diagonal/>
    </border>
    <border>
      <left/>
      <right style="thin">
        <color rgb="FFD9E1EA"/>
      </right>
      <top style="thin">
        <color rgb="FFD9E1EA"/>
      </top>
      <bottom/>
      <diagonal/>
    </border>
    <border>
      <left style="thin">
        <color rgb="FFD9E1EA"/>
      </left>
      <right/>
      <top/>
      <bottom/>
      <diagonal/>
    </border>
    <border>
      <left/>
      <right style="thin">
        <color rgb="FFD9E1EA"/>
      </right>
      <top/>
      <bottom/>
      <diagonal/>
    </border>
    <border>
      <left style="thin">
        <color rgb="FFD9E1EA"/>
      </left>
      <right/>
      <top/>
      <bottom style="thin">
        <color rgb="FFD9E1EA"/>
      </bottom>
      <diagonal/>
    </border>
    <border>
      <left/>
      <right style="thin">
        <color rgb="FFD9E1EA"/>
      </right>
      <top/>
      <bottom style="thin">
        <color rgb="FFD9E1EA"/>
      </bottom>
      <diagonal/>
    </border>
    <border>
      <left/>
      <right/>
      <top/>
      <bottom style="thin">
        <color rgb="FFD9E1EA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rgb="FF2F75B5"/>
      </left>
      <right style="thin">
        <color rgb="FFD9E1EA"/>
      </right>
      <top/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/>
      <right/>
      <top/>
      <bottom style="thin">
        <color rgb="FFD9E2F3"/>
      </bottom>
      <diagonal/>
    </border>
    <border>
      <left/>
      <right/>
      <top style="thin">
        <color rgb="FFD9E2F3"/>
      </top>
      <bottom/>
      <diagonal/>
    </border>
    <border>
      <left style="thin">
        <color rgb="FFD9E2F3"/>
      </left>
      <right/>
      <top/>
      <bottom/>
      <diagonal/>
    </border>
    <border>
      <left/>
      <right style="thin">
        <color rgb="FFD9E2F3"/>
      </right>
      <top style="thin">
        <color rgb="FFD9E2F3"/>
      </top>
      <bottom/>
      <diagonal/>
    </border>
    <border>
      <left/>
      <right style="thin">
        <color rgb="FFD9E2F3"/>
      </right>
      <top/>
      <bottom/>
      <diagonal/>
    </border>
    <border>
      <left style="thin">
        <color rgb="FFD9E2F3"/>
      </left>
      <right/>
      <top/>
      <bottom style="thin">
        <color rgb="FFD9E2F3"/>
      </bottom>
      <diagonal/>
    </border>
    <border>
      <left/>
      <right/>
      <top/>
      <bottom style="thin">
        <color rgb="FFD9E2F3"/>
      </bottom>
      <diagonal/>
    </border>
    <border>
      <left/>
      <right style="thin">
        <color rgb="FFD9E2F3"/>
      </right>
      <top/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/>
      <right style="thin">
        <color rgb="FFD9E2F3"/>
      </right>
      <top style="thin">
        <color rgb="FFD9E2F3"/>
      </top>
      <bottom style="thin">
        <color rgb="FFD9E2F3"/>
      </bottom>
      <diagonal/>
    </border>
  </borders>
  <cellStyleXfs count="2">
    <xf numFmtId="0" fontId="0" fillId="0" borderId="0"/>
    <xf numFmtId="0" fontId="4" fillId="0" borderId="0"/>
  </cellStyleXfs>
  <cellXfs count="182">
    <xf numFmtId="0" fontId="0" fillId="0" borderId="0" xfId="0"/>
    <xf numFmtId="0" fontId="1" fillId="2" borderId="0" xfId="1" applyFont="1" applyFill="1" applyAlignment="1">
      <alignment horizontal="center" vertical="center" wrapText="1"/>
    </xf>
    <xf numFmtId="49" fontId="0" fillId="0" borderId="0" xfId="0" applyNumberFormat="1"/>
    <xf numFmtId="49" fontId="2" fillId="0" borderId="0" xfId="1" applyNumberFormat="1" applyFont="1" applyAlignment="1">
      <alignment vertical="top"/>
    </xf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49" fontId="2" fillId="0" borderId="0" xfId="0" applyNumberFormat="1" applyFont="1" applyAlignment="1">
      <alignment vertical="top"/>
    </xf>
    <xf numFmtId="0" fontId="0" fillId="0" borderId="0" xfId="0" applyAlignment="1">
      <alignment vertical="center"/>
    </xf>
    <xf numFmtId="0" fontId="6" fillId="7" borderId="8" xfId="0" applyFont="1" applyFill="1" applyBorder="1" applyAlignment="1">
      <alignment vertical="top" wrapText="1"/>
    </xf>
    <xf numFmtId="0" fontId="11" fillId="4" borderId="10" xfId="1" applyFont="1" applyFill="1" applyBorder="1" applyAlignment="1">
      <alignment vertical="center"/>
    </xf>
    <xf numFmtId="0" fontId="11" fillId="4" borderId="11" xfId="1" applyFont="1" applyFill="1" applyBorder="1" applyAlignment="1">
      <alignment vertical="center"/>
    </xf>
    <xf numFmtId="0" fontId="11" fillId="4" borderId="12" xfId="1" applyFont="1" applyFill="1" applyBorder="1" applyAlignment="1">
      <alignment vertical="center"/>
    </xf>
    <xf numFmtId="0" fontId="11" fillId="4" borderId="13" xfId="1" applyFont="1" applyFill="1" applyBorder="1" applyAlignment="1">
      <alignment vertical="center"/>
    </xf>
    <xf numFmtId="0" fontId="11" fillId="4" borderId="14" xfId="1" applyFont="1" applyFill="1" applyBorder="1" applyAlignment="1">
      <alignment vertical="center"/>
    </xf>
    <xf numFmtId="0" fontId="11" fillId="4" borderId="0" xfId="1" applyFont="1" applyFill="1" applyAlignment="1">
      <alignment vertical="center"/>
    </xf>
    <xf numFmtId="0" fontId="11" fillId="4" borderId="15" xfId="1" applyFont="1" applyFill="1" applyBorder="1" applyAlignment="1">
      <alignment vertical="center"/>
    </xf>
    <xf numFmtId="0" fontId="11" fillId="4" borderId="17" xfId="1" applyFont="1" applyFill="1" applyBorder="1" applyAlignment="1">
      <alignment vertical="center"/>
    </xf>
    <xf numFmtId="0" fontId="12" fillId="4" borderId="0" xfId="1" applyFont="1" applyFill="1" applyAlignment="1">
      <alignment horizontal="center" vertical="center"/>
    </xf>
    <xf numFmtId="0" fontId="15" fillId="4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1" fillId="11" borderId="0" xfId="1" applyFont="1" applyFill="1" applyAlignment="1">
      <alignment vertical="center"/>
    </xf>
    <xf numFmtId="0" fontId="13" fillId="11" borderId="0" xfId="1" applyFont="1" applyFill="1" applyAlignment="1">
      <alignment horizontal="center" vertical="center"/>
    </xf>
    <xf numFmtId="0" fontId="6" fillId="11" borderId="0" xfId="0" applyFont="1" applyFill="1" applyAlignment="1">
      <alignment vertical="top" wrapText="1"/>
    </xf>
    <xf numFmtId="0" fontId="0" fillId="12" borderId="14" xfId="0" applyFill="1" applyBorder="1"/>
    <xf numFmtId="0" fontId="6" fillId="12" borderId="0" xfId="0" applyFont="1" applyFill="1" applyAlignment="1">
      <alignment vertical="top" wrapText="1"/>
    </xf>
    <xf numFmtId="0" fontId="6" fillId="12" borderId="6" xfId="0" applyFont="1" applyFill="1" applyBorder="1" applyAlignment="1">
      <alignment vertical="top" wrapText="1"/>
    </xf>
    <xf numFmtId="0" fontId="6" fillId="12" borderId="8" xfId="0" applyFont="1" applyFill="1" applyBorder="1" applyAlignment="1">
      <alignment vertical="top" wrapText="1"/>
    </xf>
    <xf numFmtId="0" fontId="6" fillId="12" borderId="9" xfId="0" applyFont="1" applyFill="1" applyBorder="1" applyAlignment="1">
      <alignment vertical="top" wrapText="1"/>
    </xf>
    <xf numFmtId="0" fontId="6" fillId="12" borderId="7" xfId="0" applyFont="1" applyFill="1" applyBorder="1" applyAlignment="1">
      <alignment vertical="top" wrapText="1"/>
    </xf>
    <xf numFmtId="0" fontId="1" fillId="2" borderId="18" xfId="1" applyFont="1" applyFill="1" applyBorder="1" applyAlignment="1">
      <alignment horizontal="center" vertical="center" wrapText="1"/>
    </xf>
    <xf numFmtId="0" fontId="1" fillId="2" borderId="19" xfId="1" applyFont="1" applyFill="1" applyBorder="1" applyAlignment="1">
      <alignment horizontal="center" vertical="center" wrapText="1"/>
    </xf>
    <xf numFmtId="0" fontId="1" fillId="2" borderId="20" xfId="1" applyFont="1" applyFill="1" applyBorder="1" applyAlignment="1">
      <alignment horizontal="center" vertical="center" wrapText="1"/>
    </xf>
    <xf numFmtId="0" fontId="2" fillId="0" borderId="23" xfId="1" applyFont="1" applyBorder="1" applyAlignment="1">
      <alignment vertical="top"/>
    </xf>
    <xf numFmtId="0" fontId="2" fillId="0" borderId="0" xfId="1" applyFont="1" applyAlignment="1">
      <alignment vertical="top"/>
    </xf>
    <xf numFmtId="0" fontId="2" fillId="5" borderId="0" xfId="1" applyFont="1" applyFill="1" applyAlignment="1">
      <alignment vertical="top"/>
    </xf>
    <xf numFmtId="0" fontId="2" fillId="0" borderId="24" xfId="1" applyFont="1" applyBorder="1" applyAlignment="1">
      <alignment vertical="top"/>
    </xf>
    <xf numFmtId="0" fontId="2" fillId="0" borderId="21" xfId="1" applyFont="1" applyBorder="1" applyAlignment="1">
      <alignment vertical="top"/>
    </xf>
    <xf numFmtId="0" fontId="2" fillId="0" borderId="1" xfId="1" applyFont="1" applyBorder="1" applyAlignment="1">
      <alignment vertical="top"/>
    </xf>
    <xf numFmtId="0" fontId="2" fillId="5" borderId="1" xfId="1" applyFont="1" applyFill="1" applyBorder="1" applyAlignment="1">
      <alignment vertical="top"/>
    </xf>
    <xf numFmtId="0" fontId="2" fillId="0" borderId="22" xfId="1" applyFont="1" applyBorder="1" applyAlignment="1">
      <alignment vertical="top"/>
    </xf>
    <xf numFmtId="0" fontId="6" fillId="11" borderId="11" xfId="0" applyFont="1" applyFill="1" applyBorder="1" applyAlignment="1">
      <alignment vertical="top" wrapText="1"/>
    </xf>
    <xf numFmtId="0" fontId="6" fillId="11" borderId="12" xfId="0" applyFont="1" applyFill="1" applyBorder="1" applyAlignment="1">
      <alignment vertical="top" wrapText="1"/>
    </xf>
    <xf numFmtId="0" fontId="6" fillId="11" borderId="14" xfId="0" applyFont="1" applyFill="1" applyBorder="1" applyAlignment="1">
      <alignment vertical="top" wrapText="1"/>
    </xf>
    <xf numFmtId="0" fontId="6" fillId="11" borderId="17" xfId="0" applyFont="1" applyFill="1" applyBorder="1" applyAlignment="1">
      <alignment vertical="top" wrapText="1"/>
    </xf>
    <xf numFmtId="0" fontId="6" fillId="11" borderId="16" xfId="0" applyFont="1" applyFill="1" applyBorder="1" applyAlignment="1">
      <alignment vertical="top" wrapText="1"/>
    </xf>
    <xf numFmtId="0" fontId="0" fillId="12" borderId="0" xfId="0" applyFill="1" applyAlignment="1">
      <alignment vertical="top" wrapText="1"/>
    </xf>
    <xf numFmtId="0" fontId="0" fillId="12" borderId="6" xfId="0" applyFill="1" applyBorder="1" applyAlignment="1">
      <alignment vertical="top" wrapText="1"/>
    </xf>
    <xf numFmtId="0" fontId="0" fillId="12" borderId="8" xfId="0" applyFill="1" applyBorder="1" applyAlignment="1">
      <alignment vertical="top" wrapText="1"/>
    </xf>
    <xf numFmtId="0" fontId="0" fillId="12" borderId="9" xfId="0" applyFill="1" applyBorder="1" applyAlignment="1">
      <alignment vertical="top" wrapText="1"/>
    </xf>
    <xf numFmtId="0" fontId="4" fillId="12" borderId="0" xfId="1" applyFill="1" applyAlignment="1">
      <alignment vertical="center" wrapText="1"/>
    </xf>
    <xf numFmtId="0" fontId="19" fillId="12" borderId="0" xfId="1" applyFont="1" applyFill="1" applyAlignment="1">
      <alignment vertical="center" wrapText="1"/>
    </xf>
    <xf numFmtId="0" fontId="0" fillId="12" borderId="25" xfId="0" applyFill="1" applyBorder="1"/>
    <xf numFmtId="0" fontId="7" fillId="12" borderId="5" xfId="1" applyFont="1" applyFill="1" applyBorder="1" applyAlignment="1">
      <alignment vertical="center"/>
    </xf>
    <xf numFmtId="0" fontId="7" fillId="12" borderId="0" xfId="1" applyFont="1" applyFill="1" applyAlignment="1">
      <alignment vertical="center"/>
    </xf>
    <xf numFmtId="0" fontId="0" fillId="12" borderId="5" xfId="0" applyFill="1" applyBorder="1" applyAlignment="1">
      <alignment vertical="top" wrapText="1"/>
    </xf>
    <xf numFmtId="0" fontId="7" fillId="12" borderId="5" xfId="1" applyFont="1" applyFill="1" applyBorder="1" applyAlignment="1">
      <alignment horizontal="left" vertical="top"/>
    </xf>
    <xf numFmtId="0" fontId="7" fillId="12" borderId="0" xfId="1" applyFont="1" applyFill="1" applyAlignment="1">
      <alignment horizontal="left" vertical="top"/>
    </xf>
    <xf numFmtId="0" fontId="4" fillId="12" borderId="0" xfId="1" applyFill="1" applyAlignment="1">
      <alignment horizontal="left" vertical="top" wrapText="1"/>
    </xf>
    <xf numFmtId="0" fontId="3" fillId="12" borderId="5" xfId="0" applyFont="1" applyFill="1" applyBorder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0" fontId="8" fillId="12" borderId="6" xfId="0" applyFont="1" applyFill="1" applyBorder="1" applyAlignment="1">
      <alignment horizontal="left" vertical="center"/>
    </xf>
    <xf numFmtId="0" fontId="7" fillId="12" borderId="5" xfId="1" applyFont="1" applyFill="1" applyBorder="1" applyAlignment="1">
      <alignment vertical="top"/>
    </xf>
    <xf numFmtId="0" fontId="7" fillId="12" borderId="0" xfId="1" applyFont="1" applyFill="1" applyAlignment="1">
      <alignment vertical="top"/>
    </xf>
    <xf numFmtId="0" fontId="3" fillId="12" borderId="0" xfId="0" applyFont="1" applyFill="1" applyAlignment="1">
      <alignment horizontal="left" vertical="center"/>
    </xf>
    <xf numFmtId="0" fontId="0" fillId="12" borderId="0" xfId="1" applyFont="1" applyFill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12" borderId="6" xfId="0" applyFill="1" applyBorder="1" applyAlignment="1">
      <alignment horizontal="left" vertical="top" wrapText="1"/>
    </xf>
    <xf numFmtId="0" fontId="0" fillId="12" borderId="5" xfId="0" applyFill="1" applyBorder="1" applyAlignment="1">
      <alignment horizontal="left" vertical="top" wrapText="1"/>
    </xf>
    <xf numFmtId="0" fontId="6" fillId="12" borderId="0" xfId="1" applyFont="1" applyFill="1" applyAlignment="1">
      <alignment vertical="center"/>
    </xf>
    <xf numFmtId="0" fontId="22" fillId="17" borderId="26" xfId="0" applyFont="1" applyFill="1" applyBorder="1"/>
    <xf numFmtId="0" fontId="23" fillId="17" borderId="26" xfId="0" applyFont="1" applyFill="1" applyBorder="1"/>
    <xf numFmtId="0" fontId="0" fillId="17" borderId="26" xfId="0" applyFill="1" applyBorder="1"/>
    <xf numFmtId="0" fontId="26" fillId="15" borderId="26" xfId="0" applyFont="1" applyFill="1" applyBorder="1" applyAlignment="1">
      <alignment horizontal="center"/>
    </xf>
    <xf numFmtId="9" fontId="0" fillId="17" borderId="26" xfId="0" applyNumberFormat="1" applyFill="1" applyBorder="1"/>
    <xf numFmtId="0" fontId="21" fillId="17" borderId="26" xfId="0" applyFont="1" applyFill="1" applyBorder="1"/>
    <xf numFmtId="0" fontId="27" fillId="17" borderId="26" xfId="0" applyFont="1" applyFill="1" applyBorder="1"/>
    <xf numFmtId="0" fontId="29" fillId="15" borderId="27" xfId="0" applyFont="1" applyFill="1" applyBorder="1" applyAlignment="1">
      <alignment horizontal="center" vertical="center" wrapText="1"/>
    </xf>
    <xf numFmtId="0" fontId="30" fillId="0" borderId="0" xfId="0" applyFont="1"/>
    <xf numFmtId="0" fontId="0" fillId="17" borderId="26" xfId="0" applyFill="1" applyBorder="1" applyAlignment="1">
      <alignment horizontal="center"/>
    </xf>
    <xf numFmtId="0" fontId="22" fillId="0" borderId="0" xfId="0" applyFont="1"/>
    <xf numFmtId="0" fontId="31" fillId="0" borderId="0" xfId="0" applyFont="1"/>
    <xf numFmtId="0" fontId="26" fillId="15" borderId="0" xfId="0" applyFont="1" applyFill="1" applyAlignment="1">
      <alignment horizontal="center" vertical="center"/>
    </xf>
    <xf numFmtId="0" fontId="23" fillId="17" borderId="0" xfId="0" applyFont="1" applyFill="1"/>
    <xf numFmtId="0" fontId="0" fillId="17" borderId="0" xfId="0" applyFill="1"/>
    <xf numFmtId="0" fontId="27" fillId="17" borderId="0" xfId="0" applyFont="1" applyFill="1"/>
    <xf numFmtId="0" fontId="20" fillId="15" borderId="0" xfId="0" applyFont="1" applyFill="1" applyAlignment="1">
      <alignment vertical="center"/>
    </xf>
    <xf numFmtId="0" fontId="0" fillId="0" borderId="0" xfId="0"/>
    <xf numFmtId="0" fontId="21" fillId="16" borderId="0" xfId="0" applyFont="1" applyFill="1" applyAlignment="1">
      <alignment vertical="center"/>
    </xf>
    <xf numFmtId="0" fontId="32" fillId="0" borderId="0" xfId="0" applyFont="1" applyAlignment="1">
      <alignment wrapText="1"/>
    </xf>
    <xf numFmtId="0" fontId="31" fillId="0" borderId="0" xfId="0" applyFont="1" applyAlignment="1">
      <alignment vertical="center" wrapText="1"/>
    </xf>
    <xf numFmtId="0" fontId="6" fillId="12" borderId="5" xfId="0" applyFont="1" applyFill="1" applyBorder="1" applyAlignment="1">
      <alignment horizontal="left" vertical="top" wrapText="1"/>
    </xf>
    <xf numFmtId="0" fontId="6" fillId="12" borderId="0" xfId="0" applyFont="1" applyFill="1" applyAlignment="1">
      <alignment horizontal="left" vertical="top" wrapText="1"/>
    </xf>
    <xf numFmtId="0" fontId="6" fillId="12" borderId="6" xfId="0" applyFont="1" applyFill="1" applyBorder="1" applyAlignment="1">
      <alignment horizontal="left" vertical="top" wrapText="1"/>
    </xf>
    <xf numFmtId="0" fontId="6" fillId="12" borderId="7" xfId="0" applyFont="1" applyFill="1" applyBorder="1" applyAlignment="1">
      <alignment horizontal="left" vertical="top" wrapText="1"/>
    </xf>
    <xf numFmtId="0" fontId="6" fillId="12" borderId="8" xfId="0" applyFont="1" applyFill="1" applyBorder="1" applyAlignment="1">
      <alignment horizontal="left" vertical="top" wrapText="1"/>
    </xf>
    <xf numFmtId="0" fontId="6" fillId="12" borderId="9" xfId="0" applyFont="1" applyFill="1" applyBorder="1" applyAlignment="1">
      <alignment horizontal="left" vertical="top" wrapText="1"/>
    </xf>
    <xf numFmtId="0" fontId="8" fillId="6" borderId="5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8" fillId="6" borderId="6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5" fillId="8" borderId="3" xfId="0" applyFont="1" applyFill="1" applyBorder="1" applyAlignment="1">
      <alignment horizontal="left" vertical="center"/>
    </xf>
    <xf numFmtId="0" fontId="5" fillId="8" borderId="4" xfId="0" applyFont="1" applyFill="1" applyBorder="1" applyAlignment="1">
      <alignment horizontal="left" vertical="center"/>
    </xf>
    <xf numFmtId="0" fontId="5" fillId="8" borderId="5" xfId="0" applyFont="1" applyFill="1" applyBorder="1" applyAlignment="1">
      <alignment horizontal="left" vertical="center"/>
    </xf>
    <xf numFmtId="0" fontId="5" fillId="8" borderId="0" xfId="0" applyFont="1" applyFill="1" applyAlignment="1">
      <alignment horizontal="left" vertical="center"/>
    </xf>
    <xf numFmtId="0" fontId="5" fillId="8" borderId="6" xfId="0" applyFont="1" applyFill="1" applyBorder="1" applyAlignment="1">
      <alignment horizontal="left" vertical="center"/>
    </xf>
    <xf numFmtId="0" fontId="9" fillId="12" borderId="5" xfId="0" applyFont="1" applyFill="1" applyBorder="1" applyAlignment="1">
      <alignment horizontal="left" vertical="top"/>
    </xf>
    <xf numFmtId="0" fontId="9" fillId="12" borderId="0" xfId="0" applyFont="1" applyFill="1" applyAlignment="1">
      <alignment horizontal="left" vertical="top"/>
    </xf>
    <xf numFmtId="0" fontId="9" fillId="12" borderId="6" xfId="0" applyFont="1" applyFill="1" applyBorder="1" applyAlignment="1">
      <alignment horizontal="left" vertical="top"/>
    </xf>
    <xf numFmtId="0" fontId="0" fillId="12" borderId="0" xfId="0" applyFill="1" applyAlignment="1">
      <alignment horizontal="left" vertical="top" wrapText="1"/>
    </xf>
    <xf numFmtId="0" fontId="0" fillId="12" borderId="6" xfId="0" applyFill="1" applyBorder="1" applyAlignment="1">
      <alignment horizontal="left" vertical="top" wrapText="1"/>
    </xf>
    <xf numFmtId="0" fontId="0" fillId="12" borderId="8" xfId="0" applyFill="1" applyBorder="1" applyAlignment="1">
      <alignment horizontal="left" vertical="top" wrapText="1"/>
    </xf>
    <xf numFmtId="0" fontId="0" fillId="12" borderId="9" xfId="0" applyFill="1" applyBorder="1" applyAlignment="1">
      <alignment horizontal="left" vertical="top" wrapText="1"/>
    </xf>
    <xf numFmtId="0" fontId="0" fillId="12" borderId="0" xfId="0" applyFill="1" applyAlignment="1">
      <alignment horizontal="center"/>
    </xf>
    <xf numFmtId="0" fontId="0" fillId="12" borderId="6" xfId="0" applyFill="1" applyBorder="1" applyAlignment="1">
      <alignment horizontal="center"/>
    </xf>
    <xf numFmtId="0" fontId="15" fillId="4" borderId="0" xfId="1" applyFont="1" applyFill="1" applyAlignment="1">
      <alignment horizontal="center" vertical="center"/>
    </xf>
    <xf numFmtId="0" fontId="12" fillId="4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12" xfId="1" applyFont="1" applyFill="1" applyBorder="1" applyAlignment="1">
      <alignment horizontal="center" vertical="center"/>
    </xf>
    <xf numFmtId="0" fontId="14" fillId="9" borderId="15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3" fillId="4" borderId="17" xfId="1" applyFont="1" applyFill="1" applyBorder="1" applyAlignment="1">
      <alignment horizontal="center" vertical="center"/>
    </xf>
    <xf numFmtId="0" fontId="15" fillId="4" borderId="11" xfId="1" applyFont="1" applyFill="1" applyBorder="1" applyAlignment="1">
      <alignment horizontal="center" vertical="center"/>
    </xf>
    <xf numFmtId="0" fontId="14" fillId="9" borderId="11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7" fillId="4" borderId="0" xfId="1" applyFont="1" applyFill="1" applyAlignment="1">
      <alignment horizontal="center" vertical="center"/>
    </xf>
    <xf numFmtId="0" fontId="5" fillId="8" borderId="2" xfId="0" applyFont="1" applyFill="1" applyBorder="1" applyAlignment="1">
      <alignment horizontal="left" vertical="top"/>
    </xf>
    <xf numFmtId="0" fontId="5" fillId="8" borderId="3" xfId="0" applyFont="1" applyFill="1" applyBorder="1" applyAlignment="1">
      <alignment horizontal="left" vertical="top"/>
    </xf>
    <xf numFmtId="0" fontId="5" fillId="8" borderId="4" xfId="0" applyFont="1" applyFill="1" applyBorder="1" applyAlignment="1">
      <alignment horizontal="left" vertical="top"/>
    </xf>
    <xf numFmtId="0" fontId="5" fillId="8" borderId="5" xfId="0" applyFont="1" applyFill="1" applyBorder="1" applyAlignment="1">
      <alignment horizontal="left" vertical="top"/>
    </xf>
    <xf numFmtId="0" fontId="5" fillId="8" borderId="0" xfId="0" applyFont="1" applyFill="1" applyAlignment="1">
      <alignment horizontal="left" vertical="top"/>
    </xf>
    <xf numFmtId="0" fontId="5" fillId="8" borderId="6" xfId="0" applyFont="1" applyFill="1" applyBorder="1" applyAlignment="1">
      <alignment horizontal="left" vertical="top"/>
    </xf>
    <xf numFmtId="0" fontId="14" fillId="5" borderId="10" xfId="1" applyFont="1" applyFill="1" applyBorder="1" applyAlignment="1">
      <alignment horizontal="center" vertical="center"/>
    </xf>
    <xf numFmtId="0" fontId="14" fillId="5" borderId="11" xfId="1" applyFont="1" applyFill="1" applyBorder="1" applyAlignment="1">
      <alignment horizontal="center" vertical="center"/>
    </xf>
    <xf numFmtId="0" fontId="14" fillId="5" borderId="12" xfId="1" applyFont="1" applyFill="1" applyBorder="1" applyAlignment="1">
      <alignment horizontal="center" vertical="center"/>
    </xf>
    <xf numFmtId="0" fontId="14" fillId="5" borderId="15" xfId="1" applyFont="1" applyFill="1" applyBorder="1" applyAlignment="1">
      <alignment horizontal="center" vertical="center"/>
    </xf>
    <xf numFmtId="0" fontId="14" fillId="5" borderId="17" xfId="1" applyFont="1" applyFill="1" applyBorder="1" applyAlignment="1">
      <alignment horizontal="center" vertical="center"/>
    </xf>
    <xf numFmtId="0" fontId="14" fillId="5" borderId="16" xfId="1" applyFont="1" applyFill="1" applyBorder="1" applyAlignment="1">
      <alignment horizontal="center" vertical="center"/>
    </xf>
    <xf numFmtId="0" fontId="18" fillId="4" borderId="15" xfId="1" applyFont="1" applyFill="1" applyBorder="1" applyAlignment="1">
      <alignment horizontal="left" vertical="center"/>
    </xf>
    <xf numFmtId="0" fontId="18" fillId="4" borderId="17" xfId="1" applyFont="1" applyFill="1" applyBorder="1" applyAlignment="1">
      <alignment horizontal="left" vertical="center"/>
    </xf>
    <xf numFmtId="0" fontId="16" fillId="10" borderId="11" xfId="1" applyFont="1" applyFill="1" applyBorder="1" applyAlignment="1">
      <alignment horizontal="left" vertical="center"/>
    </xf>
    <xf numFmtId="0" fontId="18" fillId="4" borderId="0" xfId="1" applyFont="1" applyFill="1" applyAlignment="1">
      <alignment horizontal="left" vertical="center"/>
    </xf>
    <xf numFmtId="0" fontId="14" fillId="13" borderId="10" xfId="1" applyFont="1" applyFill="1" applyBorder="1" applyAlignment="1">
      <alignment horizontal="center" vertical="center"/>
    </xf>
    <xf numFmtId="0" fontId="14" fillId="13" borderId="11" xfId="1" applyFont="1" applyFill="1" applyBorder="1" applyAlignment="1">
      <alignment horizontal="center" vertical="center"/>
    </xf>
    <xf numFmtId="0" fontId="14" fillId="13" borderId="12" xfId="1" applyFont="1" applyFill="1" applyBorder="1" applyAlignment="1">
      <alignment horizontal="center" vertical="center"/>
    </xf>
    <xf numFmtId="0" fontId="14" fillId="13" borderId="15" xfId="1" applyFont="1" applyFill="1" applyBorder="1" applyAlignment="1">
      <alignment horizontal="center" vertical="center"/>
    </xf>
    <xf numFmtId="0" fontId="14" fillId="13" borderId="17" xfId="1" applyFont="1" applyFill="1" applyBorder="1" applyAlignment="1">
      <alignment horizontal="center" vertical="center"/>
    </xf>
    <xf numFmtId="0" fontId="14" fillId="13" borderId="16" xfId="1" applyFont="1" applyFill="1" applyBorder="1" applyAlignment="1">
      <alignment horizontal="center" vertical="center"/>
    </xf>
    <xf numFmtId="0" fontId="16" fillId="10" borderId="10" xfId="1" applyFont="1" applyFill="1" applyBorder="1" applyAlignment="1">
      <alignment horizontal="left" vertical="center"/>
    </xf>
    <xf numFmtId="0" fontId="18" fillId="4" borderId="13" xfId="1" applyFont="1" applyFill="1" applyBorder="1" applyAlignment="1">
      <alignment horizontal="left" vertical="center"/>
    </xf>
    <xf numFmtId="0" fontId="16" fillId="10" borderId="0" xfId="1" applyFont="1" applyFill="1" applyAlignment="1">
      <alignment horizontal="left" vertical="center"/>
    </xf>
    <xf numFmtId="0" fontId="18" fillId="4" borderId="14" xfId="1" applyFont="1" applyFill="1" applyBorder="1" applyAlignment="1">
      <alignment horizontal="left" vertical="center"/>
    </xf>
    <xf numFmtId="0" fontId="14" fillId="14" borderId="10" xfId="1" applyFont="1" applyFill="1" applyBorder="1" applyAlignment="1">
      <alignment horizontal="center" vertical="center"/>
    </xf>
    <xf numFmtId="0" fontId="14" fillId="14" borderId="11" xfId="1" applyFont="1" applyFill="1" applyBorder="1" applyAlignment="1">
      <alignment horizontal="center" vertical="center"/>
    </xf>
    <xf numFmtId="0" fontId="14" fillId="14" borderId="12" xfId="1" applyFont="1" applyFill="1" applyBorder="1" applyAlignment="1">
      <alignment horizontal="center" vertical="center"/>
    </xf>
    <xf numFmtId="0" fontId="14" fillId="14" borderId="15" xfId="1" applyFont="1" applyFill="1" applyBorder="1" applyAlignment="1">
      <alignment horizontal="center" vertical="center"/>
    </xf>
    <xf numFmtId="0" fontId="14" fillId="14" borderId="17" xfId="1" applyFont="1" applyFill="1" applyBorder="1" applyAlignment="1">
      <alignment horizontal="center" vertical="center"/>
    </xf>
    <xf numFmtId="0" fontId="14" fillId="14" borderId="16" xfId="1" applyFont="1" applyFill="1" applyBorder="1" applyAlignment="1">
      <alignment horizontal="center" vertical="center"/>
    </xf>
    <xf numFmtId="0" fontId="0" fillId="12" borderId="5" xfId="0" applyFill="1" applyBorder="1" applyAlignment="1">
      <alignment horizontal="left" vertical="top" wrapText="1"/>
    </xf>
    <xf numFmtId="0" fontId="0" fillId="12" borderId="7" xfId="0" applyFill="1" applyBorder="1" applyAlignment="1">
      <alignment horizontal="left" vertical="top" wrapText="1"/>
    </xf>
    <xf numFmtId="0" fontId="0" fillId="12" borderId="5" xfId="0" applyFill="1" applyBorder="1" applyAlignment="1">
      <alignment horizontal="center"/>
    </xf>
    <xf numFmtId="0" fontId="0" fillId="12" borderId="0" xfId="1" applyFont="1" applyFill="1" applyAlignment="1">
      <alignment horizontal="left" vertical="top" wrapText="1"/>
    </xf>
    <xf numFmtId="0" fontId="4" fillId="12" borderId="0" xfId="1" applyFill="1" applyAlignment="1">
      <alignment horizontal="left" vertical="top" wrapText="1"/>
    </xf>
    <xf numFmtId="0" fontId="4" fillId="12" borderId="6" xfId="1" applyFill="1" applyBorder="1" applyAlignment="1">
      <alignment horizontal="left" vertical="top" wrapText="1"/>
    </xf>
    <xf numFmtId="0" fontId="0" fillId="12" borderId="0" xfId="1" applyFont="1" applyFill="1" applyAlignment="1">
      <alignment horizontal="left" vertical="center" wrapText="1"/>
    </xf>
    <xf numFmtId="0" fontId="4" fillId="12" borderId="0" xfId="1" applyFill="1" applyAlignment="1">
      <alignment horizontal="left" vertical="center" wrapText="1"/>
    </xf>
    <xf numFmtId="0" fontId="7" fillId="12" borderId="5" xfId="1" applyFont="1" applyFill="1" applyBorder="1" applyAlignment="1">
      <alignment horizontal="left" vertical="top"/>
    </xf>
    <xf numFmtId="0" fontId="7" fillId="12" borderId="0" xfId="1" applyFont="1" applyFill="1" applyAlignment="1">
      <alignment horizontal="left" vertical="top"/>
    </xf>
    <xf numFmtId="0" fontId="28" fillId="0" borderId="0" xfId="0" applyFont="1" applyAlignment="1">
      <alignment vertical="center" wrapText="1"/>
    </xf>
    <xf numFmtId="0" fontId="24" fillId="18" borderId="26" xfId="0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30" xfId="0" applyBorder="1"/>
    <xf numFmtId="0" fontId="0" fillId="0" borderId="29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25" fillId="19" borderId="26" xfId="0" applyFont="1" applyFill="1" applyBorder="1" applyAlignment="1">
      <alignment horizontal="center" vertical="center" wrapText="1"/>
    </xf>
    <xf numFmtId="0" fontId="31" fillId="17" borderId="26" xfId="0" applyFont="1" applyFill="1" applyBorder="1" applyAlignment="1">
      <alignment vertical="top" wrapText="1"/>
    </xf>
    <xf numFmtId="0" fontId="0" fillId="0" borderId="35" xfId="0" applyBorder="1"/>
    <xf numFmtId="0" fontId="0" fillId="0" borderId="36" xfId="0" applyBorder="1"/>
    <xf numFmtId="0" fontId="28" fillId="0" borderId="0" xfId="0" applyFont="1"/>
  </cellXfs>
  <cellStyles count="2">
    <cellStyle name="Normal" xfId="1" xr:uid="{00000000-0005-0000-0000-000001000000}"/>
    <cellStyle name="Standard" xfId="0" builtinId="0"/>
  </cellStyles>
  <dxfs count="60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rgb="FF666666"/>
      </font>
      <fill>
        <patternFill>
          <bgColor rgb="FFF2F2F2"/>
        </patternFill>
      </fill>
    </dxf>
    <dxf>
      <font>
        <b/>
        <color rgb="FFC55A11"/>
      </font>
      <fill>
        <patternFill>
          <bgColor rgb="FFFCE4D6"/>
        </patternFill>
      </fill>
    </dxf>
    <dxf>
      <font>
        <b/>
        <color rgb="FF548235"/>
      </font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de-DE"/>
              <a:t>Current Batch Outcome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Summary!$B$14</c:f>
              <c:strCache>
                <c:ptCount val="1"/>
                <c:pt idx="0">
                  <c:v>Orders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Summary!$A$15:$A$19</c:f>
              <c:strCache>
                <c:ptCount val="5"/>
                <c:pt idx="0">
                  <c:v>Eligible for Fulfillment</c:v>
                </c:pt>
                <c:pt idx="1">
                  <c:v>Invalid Submission</c:v>
                </c:pt>
                <c:pt idx="2">
                  <c:v>Outside Germany</c:v>
                </c:pt>
                <c:pt idx="3">
                  <c:v>Historical Duplicate</c:v>
                </c:pt>
                <c:pt idx="4">
                  <c:v>Current Batch Duplicate</c:v>
                </c:pt>
              </c:strCache>
            </c:strRef>
          </c:cat>
          <c:val>
            <c:numRef>
              <c:f>Summary!$B$15:$B$19</c:f>
              <c:numCache>
                <c:formatCode>General</c:formatCode>
                <c:ptCount val="5"/>
                <c:pt idx="0">
                  <c:v>29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A-47E3-991E-9B99D7E29AA3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  <c:holeSize val="58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de-DE"/>
              <a:t>Eligible Orders by Product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Summary!$B$32</c:f>
              <c:strCache>
                <c:ptCount val="1"/>
                <c:pt idx="0">
                  <c:v>Eligible Orders</c:v>
                </c:pt>
              </c:strCache>
            </c:strRef>
          </c:tx>
          <c:spPr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Summary!$A$33:$A$37</c:f>
              <c:strCache>
                <c:ptCount val="5"/>
                <c:pt idx="0">
                  <c:v>Product A</c:v>
                </c:pt>
                <c:pt idx="1">
                  <c:v>Product B</c:v>
                </c:pt>
                <c:pt idx="2">
                  <c:v>Product C</c:v>
                </c:pt>
                <c:pt idx="3">
                  <c:v>Product D</c:v>
                </c:pt>
                <c:pt idx="4">
                  <c:v>Product E</c:v>
                </c:pt>
              </c:strCache>
            </c:strRef>
          </c:cat>
          <c:val>
            <c:numRef>
              <c:f>Summary!$B$33:$B$37</c:f>
              <c:numCache>
                <c:formatCode>General</c:formatCode>
                <c:ptCount val="5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A-4821-8CB6-B46E50DF0136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17</xdr:row>
      <xdr:rowOff>131234</xdr:rowOff>
    </xdr:from>
    <xdr:to>
      <xdr:col>7</xdr:col>
      <xdr:colOff>0</xdr:colOff>
      <xdr:row>19</xdr:row>
      <xdr:rowOff>131234</xdr:rowOff>
    </xdr:to>
    <xdr:sp macro="[0]!ImportRawData" textlink="">
      <xdr:nvSpPr>
        <xdr:cNvPr id="2" name="Shape 1">
          <a:extLst>
            <a:ext uri="{FF2B5EF4-FFF2-40B4-BE49-F238E27FC236}">
              <a16:creationId xmlns:a16="http://schemas.microsoft.com/office/drawing/2014/main" id="{4C28F5F6-7C1F-47E8-BB0A-2B47756FC309}"/>
            </a:ext>
          </a:extLst>
        </xdr:cNvPr>
        <xdr:cNvSpPr>
          <a:spLocks noGrp="1"/>
        </xdr:cNvSpPr>
      </xdr:nvSpPr>
      <xdr:spPr>
        <a:xfrm>
          <a:off x="1981200" y="3223684"/>
          <a:ext cx="2641600" cy="368300"/>
        </a:xfrm>
        <a:prstGeom prst="roundRect">
          <a:avLst/>
        </a:prstGeom>
        <a:solidFill>
          <a:srgbClr val="357DB7"/>
        </a:solidFill>
        <a:ln w="9525">
          <a:solidFill>
            <a:srgbClr val="357DB7"/>
          </a:solidFill>
        </a:ln>
      </xdr:spPr>
      <xdr:txBody>
        <a:bodyPr anchor="ctr"/>
        <a:lstStyle/>
        <a:p>
          <a:pPr algn="ctr"/>
          <a:r>
            <a:rPr sz="1000" b="1">
              <a:solidFill>
                <a:srgbClr val="FFFFFF"/>
              </a:solidFill>
              <a:latin typeface="Aptos"/>
              <a:ea typeface="Aptos"/>
              <a:cs typeface="Aptos"/>
            </a:rPr>
            <a:t>IMPORT RAW DATA</a:t>
          </a:r>
          <a:endParaRPr sz="1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4536</xdr:colOff>
      <xdr:row>17</xdr:row>
      <xdr:rowOff>131234</xdr:rowOff>
    </xdr:from>
    <xdr:to>
      <xdr:col>10</xdr:col>
      <xdr:colOff>0</xdr:colOff>
      <xdr:row>19</xdr:row>
      <xdr:rowOff>131234</xdr:rowOff>
    </xdr:to>
    <xdr:sp macro="[0]!FixTextEncoding" textlink="">
      <xdr:nvSpPr>
        <xdr:cNvPr id="2" name="Shape 1">
          <a:extLst>
            <a:ext uri="{FF2B5EF4-FFF2-40B4-BE49-F238E27FC236}">
              <a16:creationId xmlns:a16="http://schemas.microsoft.com/office/drawing/2014/main" id="{0372D350-BA50-47E1-B4E1-183D6E187DB8}"/>
            </a:ext>
          </a:extLst>
        </xdr:cNvPr>
        <xdr:cNvSpPr>
          <a:spLocks noGrp="1"/>
        </xdr:cNvSpPr>
      </xdr:nvSpPr>
      <xdr:spPr>
        <a:xfrm>
          <a:off x="1991179" y="3238198"/>
          <a:ext cx="4630964" cy="371929"/>
        </a:xfrm>
        <a:prstGeom prst="roundRect">
          <a:avLst/>
        </a:prstGeom>
        <a:solidFill>
          <a:srgbClr val="357DB7"/>
        </a:solidFill>
        <a:ln w="9525">
          <a:solidFill>
            <a:srgbClr val="357DB7"/>
          </a:solidFill>
        </a:ln>
      </xdr:spPr>
      <xdr:txBody>
        <a:bodyPr anchor="ctr"/>
        <a:lstStyle/>
        <a:p>
          <a:pPr algn="ctr"/>
          <a:r>
            <a:rPr lang="de-DE" sz="1000" b="1">
              <a:solidFill>
                <a:srgbClr val="FFFFFF"/>
              </a:solidFill>
              <a:latin typeface="Aptos"/>
              <a:ea typeface="Aptos"/>
              <a:cs typeface="Aptos"/>
            </a:rPr>
            <a:t>TRANSFORM</a:t>
          </a:r>
          <a:r>
            <a:rPr lang="de-DE" sz="1000" b="1" baseline="0">
              <a:solidFill>
                <a:srgbClr val="FFFFFF"/>
              </a:solidFill>
              <a:latin typeface="Aptos"/>
              <a:ea typeface="Aptos"/>
              <a:cs typeface="Aptos"/>
            </a:rPr>
            <a:t> </a:t>
          </a:r>
          <a:r>
            <a:rPr lang="de-DE" sz="1000" b="1">
              <a:solidFill>
                <a:srgbClr val="FFFFFF"/>
              </a:solidFill>
              <a:latin typeface="Aptos"/>
              <a:ea typeface="Aptos"/>
              <a:cs typeface="Aptos"/>
            </a:rPr>
            <a:t>- ENCODING</a:t>
          </a:r>
          <a:r>
            <a:rPr lang="de-DE" sz="1000" b="1" baseline="0">
              <a:solidFill>
                <a:srgbClr val="FFFFFF"/>
              </a:solidFill>
              <a:latin typeface="Aptos"/>
              <a:ea typeface="Aptos"/>
              <a:cs typeface="Aptos"/>
            </a:rPr>
            <a:t> REPAIR</a:t>
          </a:r>
          <a:endParaRPr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4536</xdr:colOff>
      <xdr:row>20</xdr:row>
      <xdr:rowOff>131234</xdr:rowOff>
    </xdr:from>
    <xdr:to>
      <xdr:col>10</xdr:col>
      <xdr:colOff>0</xdr:colOff>
      <xdr:row>22</xdr:row>
      <xdr:rowOff>131233</xdr:rowOff>
    </xdr:to>
    <xdr:sp macro="[0]!ApplyBusinessRules" textlink="">
      <xdr:nvSpPr>
        <xdr:cNvPr id="2" name="Shape 1">
          <a:extLst>
            <a:ext uri="{FF2B5EF4-FFF2-40B4-BE49-F238E27FC236}">
              <a16:creationId xmlns:a16="http://schemas.microsoft.com/office/drawing/2014/main" id="{ECD8C64D-B166-4DF7-AB56-81F03C73870D}"/>
            </a:ext>
          </a:extLst>
        </xdr:cNvPr>
        <xdr:cNvSpPr>
          <a:spLocks noGrp="1"/>
        </xdr:cNvSpPr>
      </xdr:nvSpPr>
      <xdr:spPr>
        <a:xfrm>
          <a:off x="1985736" y="3223684"/>
          <a:ext cx="4618264" cy="368300"/>
        </a:xfrm>
        <a:prstGeom prst="roundRect">
          <a:avLst/>
        </a:prstGeom>
        <a:solidFill>
          <a:srgbClr val="357DB7"/>
        </a:solidFill>
        <a:ln w="9525">
          <a:solidFill>
            <a:srgbClr val="357DB7"/>
          </a:solidFill>
        </a:ln>
      </xdr:spPr>
      <xdr:txBody>
        <a:bodyPr anchor="ctr"/>
        <a:lstStyle/>
        <a:p>
          <a:pPr algn="ctr"/>
          <a:r>
            <a:rPr lang="de-DE" sz="1000" b="1">
              <a:solidFill>
                <a:srgbClr val="FFFFFF"/>
              </a:solidFill>
              <a:latin typeface="Aptos"/>
              <a:ea typeface="Aptos"/>
              <a:cs typeface="Aptos"/>
            </a:rPr>
            <a:t>APPLY BUSINESS RULES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13</xdr:row>
      <xdr:rowOff>0</xdr:rowOff>
    </xdr:from>
    <xdr:ext cx="4608000" cy="295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31</xdr:row>
      <xdr:rowOff>19050</xdr:rowOff>
    </xdr:from>
    <xdr:ext cx="4608000" cy="2736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302986</xdr:colOff>
      <xdr:row>18</xdr:row>
      <xdr:rowOff>131234</xdr:rowOff>
    </xdr:from>
    <xdr:to>
      <xdr:col>4</xdr:col>
      <xdr:colOff>19050</xdr:colOff>
      <xdr:row>21</xdr:row>
      <xdr:rowOff>131233</xdr:rowOff>
    </xdr:to>
    <xdr:sp macro="[0]!ExportSelectedSheets" textlink="">
      <xdr:nvSpPr>
        <xdr:cNvPr id="2" name="Shape 1">
          <a:extLst>
            <a:ext uri="{FF2B5EF4-FFF2-40B4-BE49-F238E27FC236}">
              <a16:creationId xmlns:a16="http://schemas.microsoft.com/office/drawing/2014/main" id="{ECD8C64D-B166-4DF7-AB56-81F03C73870D}"/>
            </a:ext>
          </a:extLst>
        </xdr:cNvPr>
        <xdr:cNvSpPr>
          <a:spLocks noGrp="1"/>
        </xdr:cNvSpPr>
      </xdr:nvSpPr>
      <xdr:spPr>
        <a:xfrm>
          <a:off x="302986" y="3572934"/>
          <a:ext cx="4764314" cy="533399"/>
        </a:xfrm>
        <a:prstGeom prst="roundRect">
          <a:avLst/>
        </a:prstGeom>
        <a:solidFill>
          <a:srgbClr val="357DB7"/>
        </a:solidFill>
        <a:ln w="9525">
          <a:solidFill>
            <a:srgbClr val="357DB7"/>
          </a:solidFill>
        </a:ln>
      </xdr:spPr>
      <xdr:txBody>
        <a:bodyPr anchor="ctr"/>
        <a:lstStyle/>
        <a:p>
          <a:pPr algn="ctr"/>
          <a:r>
            <a:rPr lang="de-DE" sz="1000" b="1">
              <a:solidFill>
                <a:srgbClr val="FFFFFF"/>
              </a:solidFill>
              <a:latin typeface="Aptos"/>
              <a:ea typeface="Aptos"/>
              <a:cs typeface="Aptos"/>
            </a:rPr>
            <a:t>EXPORT SELECTED SHEETS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OrdersRaw" displayName="OrdersRaw" ref="A1:P101" totalsRowShown="0" dataDxfId="17">
  <tableColumns count="16">
    <tableColumn id="1" xr3:uid="{00000000-0010-0000-0000-000001000000}" name="OrderID" dataDxfId="33"/>
    <tableColumn id="2" xr3:uid="{245868CF-18EC-4268-9843-467734555750}" name="OrderValidationStatus" dataDxfId="32"/>
    <tableColumn id="3" xr3:uid="{442D831B-0350-4C70-A385-FBD4EC194E49}" name="FirstName" dataDxfId="31"/>
    <tableColumn id="4" xr3:uid="{62DFA2CF-9725-4524-BB58-5E58EF87AD84}" name="LastName" dataDxfId="30"/>
    <tableColumn id="5" xr3:uid="{165355CE-090C-4B13-8459-D2316D866B68}" name="Email" dataDxfId="29"/>
    <tableColumn id="6" xr3:uid="{17C60C22-D60B-40CE-803D-E872A0CF8699}" name="Street" dataDxfId="28"/>
    <tableColumn id="7" xr3:uid="{F13C6F73-97F5-4651-B7F9-D19FE29ADFE7}" name="HouseNumber" dataDxfId="27"/>
    <tableColumn id="8" xr3:uid="{DA1F8EC6-500C-41AE-9CB2-C26F55C0A7DC}" name="PostalCode" dataDxfId="26"/>
    <tableColumn id="9" xr3:uid="{C1668A7F-F66F-42C6-8AC2-49390BF2A944}" name="City" dataDxfId="25"/>
    <tableColumn id="10" xr3:uid="{3E0C9390-841E-449A-AC85-9DB5363D1D5F}" name="Country" dataDxfId="24"/>
    <tableColumn id="11" xr3:uid="{9768348D-625C-4F83-92C5-FA8E876AEFFF}" name="SelectedProduct" dataDxfId="23"/>
    <tableColumn id="12" xr3:uid="{90596C2F-A76D-4861-9535-A6851CBACC81}" name="SubmissionDate" dataDxfId="22"/>
    <tableColumn id="13" xr3:uid="{7FC61039-1A72-4C76-9963-5ACBC03D4700}" name="AnalyticsConsent" dataDxfId="21"/>
    <tableColumn id="14" xr3:uid="{BF8D4D28-BE52-4834-8925-81E98778BE1F}" name="AgeGroup" dataDxfId="20"/>
    <tableColumn id="15" xr3:uid="{6153644F-6ADE-40AD-A9EF-C8A0CBF615E5}" name="Gender" dataDxfId="19"/>
    <tableColumn id="16" xr3:uid="{4462C8A5-E671-403E-BAA2-9C0059816D48}" name="ProductUsageFrequency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4B9F38-B404-4B5F-A5FB-4CCC5907D44B}" name="OrdersEncodingRepaired" displayName="OrdersEncodingRepaired" ref="A1:P101" totalsRowShown="0" dataDxfId="0">
  <tableColumns count="16">
    <tableColumn id="1" xr3:uid="{F328D468-D972-4682-9F23-99D536C7E669}" name="OrderID" dataDxfId="16"/>
    <tableColumn id="2" xr3:uid="{D1D56916-C0D4-4762-8143-FEFA3518F1E0}" name="OrderValidationStatus" dataDxfId="15"/>
    <tableColumn id="3" xr3:uid="{EBF9A045-6BB7-491B-ABD5-F0B8DDB6AFD6}" name="FirstName" dataDxfId="14"/>
    <tableColumn id="4" xr3:uid="{D83792EE-00BD-4618-88B1-DF6406BBEA8B}" name="LastName" dataDxfId="13"/>
    <tableColumn id="5" xr3:uid="{B4BE10F9-8454-43E4-93E1-831E2DD21C34}" name="Email" dataDxfId="12"/>
    <tableColumn id="6" xr3:uid="{8118D3F4-6C57-4C56-8DEC-6C720997E5B8}" name="Street" dataDxfId="11"/>
    <tableColumn id="7" xr3:uid="{CE785652-BE32-4264-9294-D1FF2A76BEA8}" name="HouseNumber" dataDxfId="10"/>
    <tableColumn id="8" xr3:uid="{7F68478D-207D-41BE-8BEF-0C1036994859}" name="PostalCode" dataDxfId="9"/>
    <tableColumn id="9" xr3:uid="{D6317139-62A8-450A-A56A-9F539C03E56A}" name="City" dataDxfId="8"/>
    <tableColumn id="10" xr3:uid="{B050B3C3-95AE-4D32-95DB-79AFD7AFEFD6}" name="Country" dataDxfId="7"/>
    <tableColumn id="11" xr3:uid="{43E19368-3438-41E0-AEDA-B6407A023777}" name="SelectedProduct" dataDxfId="6"/>
    <tableColumn id="12" xr3:uid="{13CD5E96-C494-4FA3-9FA6-1E47466E1604}" name="SubmissionDate" dataDxfId="5"/>
    <tableColumn id="13" xr3:uid="{593CF56D-440F-4B5B-9B1A-EFF7E6F1E181}" name="AnalyticsConsent" dataDxfId="4"/>
    <tableColumn id="14" xr3:uid="{B49F5200-200D-42B3-9C80-BEB8C365FA0E}" name="AgeGroup" dataDxfId="3"/>
    <tableColumn id="15" xr3:uid="{A09F7A82-EFE2-49DC-8982-4CD5EBAAA4E9}" name="Gender" dataDxfId="2"/>
    <tableColumn id="16" xr3:uid="{FB224B56-4202-46DF-8C37-52D56BED809C}" name="ProductUsageFrequency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AB1B12-8499-417E-8F05-0ADF67719952}" name="OrdersSingleSourceOfTruth" displayName="OrdersSingleSourceOfTruth" ref="A1:V101" totalsRowShown="0" dataDxfId="56">
  <tableColumns count="22">
    <tableColumn id="1" xr3:uid="{A18D3EDC-BEC0-49CF-A2A7-EFF4D1218E76}" name="OrderID" dataDxfId="55"/>
    <tableColumn id="2" xr3:uid="{07EE452B-E955-481F-96C7-F4DC4E7635C2}" name="OrderValidationStatus" dataDxfId="54"/>
    <tableColumn id="3" xr3:uid="{8F121C7C-F274-4097-BBC0-48E5954AB773}" name="FirstName" dataDxfId="53"/>
    <tableColumn id="4" xr3:uid="{15DE5A90-FD9F-4BF3-837A-381A2AC5BB6E}" name="LastName" dataDxfId="52"/>
    <tableColumn id="5" xr3:uid="{3A38BD8F-830F-4B49-BC30-0319172FC109}" name="Email" dataDxfId="51"/>
    <tableColumn id="6" xr3:uid="{BFED91EF-B15B-493D-94FF-B2511E8D753B}" name="Street" dataDxfId="50"/>
    <tableColumn id="7" xr3:uid="{AB1D35F4-1CBC-4AF5-8176-FD41DB67F830}" name="HouseNumber" dataDxfId="49"/>
    <tableColumn id="8" xr3:uid="{BAEF2F35-4338-42BE-906C-45F930781F33}" name="PostalCode" dataDxfId="48"/>
    <tableColumn id="9" xr3:uid="{3D2DBBC1-BB8D-4AAA-AD16-829F90D2A961}" name="City" dataDxfId="47"/>
    <tableColumn id="10" xr3:uid="{196483CC-4D19-4390-BA2C-D62368F218CA}" name="Country" dataDxfId="46"/>
    <tableColumn id="11" xr3:uid="{4176C9AF-CD0C-4AE0-AEB8-F02D38CAB41E}" name="SelectedProduct" dataDxfId="45"/>
    <tableColumn id="12" xr3:uid="{14D5C578-5942-46D3-9E66-5FCFD1061808}" name="SubmissionDate" dataDxfId="44"/>
    <tableColumn id="13" xr3:uid="{F9CD715C-9500-40B5-AE75-EFB89F3A029E}" name="AnalyticsConsent" dataDxfId="43"/>
    <tableColumn id="14" xr3:uid="{805382FB-7C93-4904-A02A-F79BBA6EFCF8}" name="AgeGroup" dataDxfId="42"/>
    <tableColumn id="15" xr3:uid="{E9639D82-88DE-4160-BF41-8E7C870A9DDD}" name="Gender" dataDxfId="41"/>
    <tableColumn id="16" xr3:uid="{8787F205-2590-4ECD-AF54-7F4E5D6E71E8}" name="ProductUsageFrequency" dataDxfId="40"/>
    <tableColumn id="17" xr3:uid="{9B76DBED-5686-46ED-988D-FD406C063476}" name="BatchClassification" dataDxfId="39"/>
    <tableColumn id="18" xr3:uid="{10D6089E-B40D-4F12-92CF-8807EEB8810B}" name="CountryEligible" dataDxfId="38"/>
    <tableColumn id="19" xr3:uid="{DF948414-95DC-43DB-87D8-65359F83E7A2}" name="HistoricalDuplicate" dataDxfId="37"/>
    <tableColumn id="20" xr3:uid="{8D640FF3-3030-4537-B2C3-9EEF17EA58F3}" name="CurrentBatchDuplicate" dataDxfId="36"/>
    <tableColumn id="21" xr3:uid="{6B4E2A30-699B-42D2-B0B9-0A75B992E428}" name="EligibilityStatus" dataDxfId="35"/>
    <tableColumn id="22" xr3:uid="{F7C6FBDC-A53C-470C-81BF-9DF42520AB55}" name="Explanation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1CF60-B3E3-4C8E-A1B4-4CB2831C7F79}">
  <sheetPr codeName="Tabelle1">
    <tabColor rgb="FF2F75B5"/>
  </sheetPr>
  <dimension ref="A1:M33"/>
  <sheetViews>
    <sheetView workbookViewId="0">
      <selection activeCell="A11" sqref="A11:M11"/>
    </sheetView>
  </sheetViews>
  <sheetFormatPr baseColWidth="10" defaultColWidth="8.6640625" defaultRowHeight="14"/>
  <sheetData>
    <row r="1" spans="1:13" ht="14" customHeight="1">
      <c r="A1" s="99" t="s">
        <v>637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1"/>
    </row>
    <row r="2" spans="1:13" ht="14" customHeight="1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4"/>
    </row>
    <row r="3" spans="1:13" ht="14" customHeight="1">
      <c r="A3" s="105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7"/>
    </row>
    <row r="4" spans="1:13">
      <c r="A4" s="96" t="s">
        <v>633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8"/>
    </row>
    <row r="5" spans="1:13" ht="14" customHeight="1">
      <c r="A5" s="90" t="s">
        <v>639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2"/>
    </row>
    <row r="6" spans="1:13" ht="14" customHeight="1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</row>
    <row r="7" spans="1:13">
      <c r="A7" s="90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2"/>
    </row>
    <row r="8" spans="1:13">
      <c r="A8" s="90"/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2"/>
    </row>
    <row r="9" spans="1:13">
      <c r="A9" s="90"/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2"/>
    </row>
    <row r="10" spans="1:13">
      <c r="A10" s="90"/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2"/>
    </row>
    <row r="11" spans="1:13" ht="14.5" customHeight="1">
      <c r="A11" s="96" t="s">
        <v>634</v>
      </c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8"/>
    </row>
    <row r="12" spans="1:13" ht="14.5" customHeight="1">
      <c r="A12" s="90" t="s">
        <v>638</v>
      </c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2"/>
    </row>
    <row r="13" spans="1:13" ht="14.5" customHeight="1">
      <c r="A13" s="90"/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2"/>
    </row>
    <row r="14" spans="1:13" ht="14.5" customHeight="1">
      <c r="A14" s="90"/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2"/>
    </row>
    <row r="15" spans="1:13" ht="14.5" customHeight="1">
      <c r="A15" s="90"/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2"/>
    </row>
    <row r="16" spans="1:13" ht="14.5" customHeight="1">
      <c r="A16" s="90"/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2"/>
    </row>
    <row r="17" spans="1:13" ht="14.5" customHeight="1">
      <c r="A17" s="90"/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2"/>
    </row>
    <row r="18" spans="1:13" ht="14.5" customHeight="1">
      <c r="A18" s="96" t="s">
        <v>635</v>
      </c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8"/>
    </row>
    <row r="19" spans="1:13" ht="14.5" customHeight="1">
      <c r="A19" s="90" t="s">
        <v>640</v>
      </c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2"/>
    </row>
    <row r="20" spans="1:13" ht="14.5" customHeight="1">
      <c r="A20" s="90"/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2"/>
    </row>
    <row r="21" spans="1:13" ht="14" customHeight="1">
      <c r="A21" s="90"/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2"/>
    </row>
    <row r="22" spans="1:13" ht="14" customHeight="1">
      <c r="A22" s="90"/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2"/>
    </row>
    <row r="23" spans="1:13">
      <c r="A23" s="90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2"/>
    </row>
    <row r="24" spans="1:13">
      <c r="A24" s="90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2"/>
    </row>
    <row r="25" spans="1:13">
      <c r="A25" s="90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2"/>
    </row>
    <row r="26" spans="1:13">
      <c r="A26" s="90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2"/>
    </row>
    <row r="27" spans="1:13">
      <c r="A27" s="96" t="s">
        <v>636</v>
      </c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8"/>
    </row>
    <row r="28" spans="1:13" ht="14" customHeight="1">
      <c r="A28" s="90" t="s">
        <v>641</v>
      </c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2"/>
    </row>
    <row r="29" spans="1:13">
      <c r="A29" s="90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2"/>
    </row>
    <row r="30" spans="1:13">
      <c r="A30" s="90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2"/>
    </row>
    <row r="31" spans="1:13">
      <c r="A31" s="90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2"/>
    </row>
    <row r="32" spans="1:13">
      <c r="A32" s="90"/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2"/>
    </row>
    <row r="33" spans="1:13" ht="14.5" thickBot="1">
      <c r="A33" s="93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5"/>
    </row>
  </sheetData>
  <mergeCells count="10">
    <mergeCell ref="A28:M33"/>
    <mergeCell ref="A27:M27"/>
    <mergeCell ref="A5:M10"/>
    <mergeCell ref="A12:M17"/>
    <mergeCell ref="A1:M2"/>
    <mergeCell ref="A3:M3"/>
    <mergeCell ref="A4:M4"/>
    <mergeCell ref="A11:M11"/>
    <mergeCell ref="A19:M26"/>
    <mergeCell ref="A18:M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169D0-F048-4BDD-B72B-AEDC7A65A681}">
  <sheetPr codeName="Tabelle2">
    <tabColor rgb="FFFFFFCC"/>
  </sheetPr>
  <dimension ref="A1:M29"/>
  <sheetViews>
    <sheetView zoomScaleNormal="100" workbookViewId="0">
      <selection activeCell="R24" sqref="R24"/>
    </sheetView>
  </sheetViews>
  <sheetFormatPr baseColWidth="10" defaultColWidth="8.6640625" defaultRowHeight="14"/>
  <cols>
    <col min="3" max="3" width="8.6640625" customWidth="1"/>
  </cols>
  <sheetData>
    <row r="1" spans="1:13" ht="14" customHeight="1">
      <c r="A1" s="99" t="s">
        <v>664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1"/>
    </row>
    <row r="2" spans="1:13" ht="14" customHeight="1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4"/>
    </row>
    <row r="3" spans="1:13" ht="14" customHeight="1">
      <c r="A3" s="105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7"/>
    </row>
    <row r="4" spans="1:13">
      <c r="A4" s="96" t="s">
        <v>643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8"/>
    </row>
    <row r="5" spans="1:13" ht="14" customHeight="1">
      <c r="A5" s="90" t="s">
        <v>648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2"/>
    </row>
    <row r="6" spans="1:13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</row>
    <row r="7" spans="1:13" ht="14.5" customHeight="1">
      <c r="A7" s="96" t="s">
        <v>644</v>
      </c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8"/>
    </row>
    <row r="8" spans="1:13" ht="14.5" customHeight="1">
      <c r="A8" s="90" t="s">
        <v>649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2"/>
    </row>
    <row r="9" spans="1:13" ht="14.5" customHeight="1">
      <c r="A9" s="90"/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2"/>
    </row>
    <row r="10" spans="1:13" ht="14.5" customHeight="1">
      <c r="A10" s="23"/>
      <c r="B10" s="9"/>
      <c r="C10" s="10"/>
      <c r="D10" s="10"/>
      <c r="E10" s="10"/>
      <c r="F10" s="10"/>
      <c r="G10" s="10"/>
      <c r="H10" s="10"/>
      <c r="I10" s="11"/>
      <c r="J10" s="24"/>
      <c r="K10" s="24"/>
      <c r="L10" s="24"/>
      <c r="M10" s="25"/>
    </row>
    <row r="11" spans="1:13" ht="14.5" customHeight="1">
      <c r="A11" s="23"/>
      <c r="B11" s="12"/>
      <c r="C11" s="115" t="s">
        <v>645</v>
      </c>
      <c r="D11" s="115"/>
      <c r="E11" s="115"/>
      <c r="F11" s="115"/>
      <c r="G11" s="115"/>
      <c r="H11" s="17"/>
      <c r="I11" s="13"/>
      <c r="J11" s="24"/>
      <c r="K11" s="24"/>
      <c r="L11" s="24"/>
      <c r="M11" s="25"/>
    </row>
    <row r="12" spans="1:13" ht="14.5" customHeight="1">
      <c r="A12" s="23"/>
      <c r="B12" s="12"/>
      <c r="C12" s="14"/>
      <c r="D12" s="14"/>
      <c r="E12" s="14"/>
      <c r="F12" s="14"/>
      <c r="G12" s="14"/>
      <c r="H12" s="14"/>
      <c r="I12" s="13"/>
      <c r="J12" s="24"/>
      <c r="K12" s="24"/>
      <c r="L12" s="24"/>
      <c r="M12" s="25"/>
    </row>
    <row r="13" spans="1:13" ht="14.5" customHeight="1">
      <c r="A13" s="23"/>
      <c r="B13" s="12"/>
      <c r="C13" s="116" t="s">
        <v>97</v>
      </c>
      <c r="D13" s="116"/>
      <c r="E13" s="19"/>
      <c r="F13" s="121" t="s">
        <v>99</v>
      </c>
      <c r="G13" s="121"/>
      <c r="H13" s="121"/>
      <c r="I13" s="13"/>
      <c r="J13" s="24"/>
      <c r="K13" s="24"/>
      <c r="L13" s="24"/>
      <c r="M13" s="25"/>
    </row>
    <row r="14" spans="1:13" ht="14.5" customHeight="1">
      <c r="A14" s="23"/>
      <c r="B14" s="12"/>
      <c r="C14" s="117" t="s">
        <v>98</v>
      </c>
      <c r="D14" s="118"/>
      <c r="E14" s="125" t="s">
        <v>655</v>
      </c>
      <c r="F14" s="117">
        <v>60</v>
      </c>
      <c r="G14" s="123"/>
      <c r="H14" s="118"/>
      <c r="I14" s="13"/>
      <c r="J14" s="24"/>
      <c r="K14" s="24"/>
      <c r="L14" s="24"/>
      <c r="M14" s="25"/>
    </row>
    <row r="15" spans="1:13" ht="14.5" customHeight="1">
      <c r="A15" s="23"/>
      <c r="B15" s="12"/>
      <c r="C15" s="119"/>
      <c r="D15" s="120"/>
      <c r="E15" s="125"/>
      <c r="F15" s="119"/>
      <c r="G15" s="124"/>
      <c r="H15" s="120"/>
      <c r="I15" s="13"/>
      <c r="J15" s="24"/>
      <c r="K15" s="24"/>
      <c r="L15" s="24"/>
      <c r="M15" s="25"/>
    </row>
    <row r="16" spans="1:13" ht="14.5" customHeight="1">
      <c r="A16" s="23"/>
      <c r="B16" s="12"/>
      <c r="C16" s="114" t="s">
        <v>646</v>
      </c>
      <c r="D16" s="114"/>
      <c r="E16" s="18"/>
      <c r="F16" s="122" t="s">
        <v>647</v>
      </c>
      <c r="G16" s="122"/>
      <c r="H16" s="122"/>
      <c r="I16" s="13"/>
      <c r="J16" s="24"/>
      <c r="K16" s="24"/>
      <c r="L16" s="24"/>
      <c r="M16" s="25"/>
    </row>
    <row r="17" spans="1:13" ht="14.5" customHeight="1">
      <c r="A17" s="23"/>
      <c r="B17" s="12"/>
      <c r="C17" s="14"/>
      <c r="D17" s="14"/>
      <c r="E17" s="14"/>
      <c r="F17" s="14"/>
      <c r="G17" s="14"/>
      <c r="H17" s="14"/>
      <c r="I17" s="13"/>
      <c r="J17" s="24"/>
      <c r="K17" s="24"/>
      <c r="L17" s="24"/>
      <c r="M17" s="25"/>
    </row>
    <row r="18" spans="1:13" ht="14.5" customHeight="1">
      <c r="A18" s="23"/>
      <c r="B18" s="12"/>
      <c r="C18" s="14"/>
      <c r="D18" s="14"/>
      <c r="E18" s="14"/>
      <c r="F18" s="14"/>
      <c r="G18" s="14"/>
      <c r="H18" s="14"/>
      <c r="I18" s="13"/>
      <c r="J18" s="24"/>
      <c r="K18" s="24"/>
      <c r="L18" s="24"/>
      <c r="M18" s="25"/>
    </row>
    <row r="19" spans="1:13" ht="14.5" customHeight="1">
      <c r="A19" s="23"/>
      <c r="B19" s="12"/>
      <c r="C19" s="14"/>
      <c r="D19" s="14"/>
      <c r="E19" s="14"/>
      <c r="F19" s="14"/>
      <c r="G19" s="14"/>
      <c r="H19" s="14"/>
      <c r="I19" s="13"/>
      <c r="J19" s="24"/>
      <c r="K19" s="24"/>
      <c r="L19" s="24"/>
      <c r="M19" s="25"/>
    </row>
    <row r="20" spans="1:13" ht="14.5" customHeight="1">
      <c r="A20" s="23"/>
      <c r="B20" s="12"/>
      <c r="C20" s="20"/>
      <c r="D20" s="14"/>
      <c r="E20" s="14"/>
      <c r="F20" s="14"/>
      <c r="G20" s="20"/>
      <c r="H20" s="20"/>
      <c r="I20" s="13"/>
      <c r="J20" s="24"/>
      <c r="K20" s="24"/>
      <c r="L20" s="24"/>
      <c r="M20" s="25"/>
    </row>
    <row r="21" spans="1:13" ht="14.5" customHeight="1">
      <c r="A21" s="23"/>
      <c r="B21" s="12"/>
      <c r="C21" s="14"/>
      <c r="D21" s="14"/>
      <c r="E21" s="14"/>
      <c r="F21" s="14"/>
      <c r="G21" s="14"/>
      <c r="H21" s="14"/>
      <c r="I21" s="13"/>
      <c r="J21" s="24"/>
      <c r="K21" s="24"/>
      <c r="L21" s="24"/>
      <c r="M21" s="25"/>
    </row>
    <row r="22" spans="1:13" ht="14.5" customHeight="1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3"/>
    </row>
    <row r="23" spans="1:13" ht="14.5" customHeight="1">
      <c r="A23" s="96" t="s">
        <v>650</v>
      </c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8"/>
    </row>
    <row r="24" spans="1:13" ht="14.5" customHeight="1">
      <c r="A24" s="108" t="s">
        <v>651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9"/>
    </row>
    <row r="25" spans="1:13" ht="14.5" customHeight="1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9"/>
    </row>
    <row r="26" spans="1:13" ht="14.5" customHeight="1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9"/>
    </row>
    <row r="27" spans="1:13" ht="14.5" customHeight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9"/>
    </row>
    <row r="28" spans="1:13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9"/>
    </row>
    <row r="29" spans="1:13" ht="14.5" thickBot="1">
      <c r="A29" s="110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1"/>
    </row>
  </sheetData>
  <mergeCells count="17">
    <mergeCell ref="A8:M9"/>
    <mergeCell ref="F13:H13"/>
    <mergeCell ref="F16:H16"/>
    <mergeCell ref="F14:H15"/>
    <mergeCell ref="E14:E15"/>
    <mergeCell ref="A23:M23"/>
    <mergeCell ref="A24:M29"/>
    <mergeCell ref="A22:M22"/>
    <mergeCell ref="C16:D16"/>
    <mergeCell ref="C11:G11"/>
    <mergeCell ref="C13:D13"/>
    <mergeCell ref="C14:D15"/>
    <mergeCell ref="A1:M2"/>
    <mergeCell ref="A3:M3"/>
    <mergeCell ref="A4:M4"/>
    <mergeCell ref="A7:M7"/>
    <mergeCell ref="A5:M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FFFFCC"/>
  </sheetPr>
  <dimension ref="A1:P101"/>
  <sheetViews>
    <sheetView topLeftCell="D73" workbookViewId="0"/>
  </sheetViews>
  <sheetFormatPr baseColWidth="10" defaultColWidth="8.6640625" defaultRowHeight="14"/>
  <cols>
    <col min="1" max="1" width="10" customWidth="1"/>
    <col min="2" max="2" width="18" customWidth="1"/>
    <col min="3" max="3" width="12" customWidth="1"/>
    <col min="4" max="4" width="14" customWidth="1"/>
    <col min="5" max="5" width="26" customWidth="1"/>
    <col min="6" max="6" width="20" customWidth="1"/>
    <col min="7" max="7" width="13" customWidth="1"/>
    <col min="8" max="8" width="12" customWidth="1"/>
    <col min="9" max="9" width="16" customWidth="1"/>
    <col min="10" max="10" width="13" customWidth="1"/>
    <col min="11" max="12" width="14" customWidth="1"/>
    <col min="13" max="13" width="16" customWidth="1"/>
    <col min="14" max="14" width="12" customWidth="1"/>
    <col min="15" max="15" width="18" customWidth="1"/>
    <col min="16" max="16" width="24" customWidth="1"/>
  </cols>
  <sheetData>
    <row r="1" spans="1:1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  <row r="2" spans="1:16">
      <c r="A2" s="2" t="s">
        <v>341</v>
      </c>
      <c r="B2" s="2" t="s">
        <v>16</v>
      </c>
      <c r="C2" s="2" t="s">
        <v>83</v>
      </c>
      <c r="D2" s="2" t="s">
        <v>105</v>
      </c>
      <c r="E2" s="2" t="s">
        <v>106</v>
      </c>
      <c r="F2" s="2" t="s">
        <v>107</v>
      </c>
      <c r="G2" s="2" t="s">
        <v>342</v>
      </c>
      <c r="H2" s="2" t="s">
        <v>343</v>
      </c>
      <c r="I2" s="2" t="s">
        <v>108</v>
      </c>
      <c r="J2" s="2" t="s">
        <v>24</v>
      </c>
      <c r="K2" s="2" t="s">
        <v>25</v>
      </c>
      <c r="L2" s="2" t="s">
        <v>344</v>
      </c>
      <c r="M2" s="2" t="s">
        <v>27</v>
      </c>
      <c r="N2" s="2" t="s">
        <v>28</v>
      </c>
      <c r="O2" s="2" t="s">
        <v>67</v>
      </c>
      <c r="P2" s="2" t="s">
        <v>68</v>
      </c>
    </row>
    <row r="3" spans="1:16">
      <c r="A3" s="2" t="s">
        <v>345</v>
      </c>
      <c r="B3" s="2" t="s">
        <v>16</v>
      </c>
      <c r="C3" s="2" t="s">
        <v>109</v>
      </c>
      <c r="D3" s="2" t="s">
        <v>110</v>
      </c>
      <c r="E3" s="2" t="s">
        <v>111</v>
      </c>
      <c r="F3" s="2" t="s">
        <v>112</v>
      </c>
      <c r="G3" s="2" t="s">
        <v>346</v>
      </c>
      <c r="H3" s="2" t="s">
        <v>59</v>
      </c>
      <c r="I3" s="2" t="s">
        <v>94</v>
      </c>
      <c r="J3" s="2" t="s">
        <v>24</v>
      </c>
      <c r="K3" s="2" t="s">
        <v>50</v>
      </c>
      <c r="L3" s="2" t="s">
        <v>347</v>
      </c>
      <c r="M3" s="2" t="s">
        <v>27</v>
      </c>
      <c r="N3" s="2" t="s">
        <v>41</v>
      </c>
      <c r="O3" s="2" t="s">
        <v>42</v>
      </c>
      <c r="P3" s="2" t="s">
        <v>43</v>
      </c>
    </row>
    <row r="4" spans="1:16">
      <c r="A4" s="2" t="s">
        <v>348</v>
      </c>
      <c r="B4" s="2" t="s">
        <v>16</v>
      </c>
      <c r="C4" s="2" t="s">
        <v>113</v>
      </c>
      <c r="D4" s="2" t="s">
        <v>114</v>
      </c>
      <c r="E4" s="2" t="s">
        <v>115</v>
      </c>
      <c r="F4" s="2" t="s">
        <v>116</v>
      </c>
      <c r="G4" s="2" t="s">
        <v>349</v>
      </c>
      <c r="H4" s="2" t="s">
        <v>350</v>
      </c>
      <c r="I4" s="2" t="s">
        <v>117</v>
      </c>
      <c r="J4" s="2" t="s">
        <v>24</v>
      </c>
      <c r="K4" s="2" t="s">
        <v>39</v>
      </c>
      <c r="L4" s="2" t="s">
        <v>351</v>
      </c>
      <c r="M4" s="2" t="s">
        <v>62</v>
      </c>
      <c r="N4" s="2"/>
      <c r="O4" s="2"/>
      <c r="P4" s="2"/>
    </row>
    <row r="5" spans="1:16">
      <c r="A5" s="2" t="s">
        <v>352</v>
      </c>
      <c r="B5" s="2" t="s">
        <v>16</v>
      </c>
      <c r="C5" s="2" t="s">
        <v>118</v>
      </c>
      <c r="D5" s="2" t="s">
        <v>119</v>
      </c>
      <c r="E5" s="2" t="s">
        <v>120</v>
      </c>
      <c r="F5" s="2" t="s">
        <v>121</v>
      </c>
      <c r="G5" s="2" t="s">
        <v>353</v>
      </c>
      <c r="H5" s="2" t="s">
        <v>354</v>
      </c>
      <c r="I5" s="2" t="s">
        <v>122</v>
      </c>
      <c r="J5" s="2" t="s">
        <v>24</v>
      </c>
      <c r="K5" s="2" t="s">
        <v>47</v>
      </c>
      <c r="L5" s="2" t="s">
        <v>355</v>
      </c>
      <c r="M5" s="2" t="s">
        <v>27</v>
      </c>
      <c r="N5" s="2" t="s">
        <v>28</v>
      </c>
      <c r="O5" s="2" t="s">
        <v>73</v>
      </c>
      <c r="P5" s="2" t="s">
        <v>74</v>
      </c>
    </row>
    <row r="6" spans="1:16">
      <c r="A6" s="2" t="s">
        <v>356</v>
      </c>
      <c r="B6" s="2" t="s">
        <v>16</v>
      </c>
      <c r="C6" s="2" t="s">
        <v>83</v>
      </c>
      <c r="D6" s="2" t="s">
        <v>84</v>
      </c>
      <c r="E6" s="2" t="s">
        <v>85</v>
      </c>
      <c r="F6" s="2" t="s">
        <v>123</v>
      </c>
      <c r="G6" s="2" t="s">
        <v>124</v>
      </c>
      <c r="H6" s="2" t="s">
        <v>88</v>
      </c>
      <c r="I6" s="2" t="s">
        <v>89</v>
      </c>
      <c r="J6" s="2" t="s">
        <v>24</v>
      </c>
      <c r="K6" s="2" t="s">
        <v>25</v>
      </c>
      <c r="L6" s="2" t="s">
        <v>357</v>
      </c>
      <c r="M6" s="2" t="s">
        <v>27</v>
      </c>
      <c r="N6" s="2" t="s">
        <v>41</v>
      </c>
      <c r="O6" s="2" t="s">
        <v>67</v>
      </c>
      <c r="P6" s="2" t="s">
        <v>68</v>
      </c>
    </row>
    <row r="7" spans="1:16">
      <c r="A7" s="2" t="s">
        <v>358</v>
      </c>
      <c r="B7" s="2" t="s">
        <v>16</v>
      </c>
      <c r="C7" s="2" t="s">
        <v>125</v>
      </c>
      <c r="D7" s="2" t="s">
        <v>126</v>
      </c>
      <c r="E7" s="2" t="s">
        <v>127</v>
      </c>
      <c r="F7" s="2" t="s">
        <v>128</v>
      </c>
      <c r="G7" s="2" t="s">
        <v>359</v>
      </c>
      <c r="H7" s="2" t="s">
        <v>360</v>
      </c>
      <c r="I7" s="2" t="s">
        <v>129</v>
      </c>
      <c r="J7" s="2" t="s">
        <v>24</v>
      </c>
      <c r="K7" s="2" t="s">
        <v>25</v>
      </c>
      <c r="L7" s="2" t="s">
        <v>361</v>
      </c>
      <c r="M7" s="2" t="s">
        <v>62</v>
      </c>
      <c r="N7" s="2"/>
      <c r="O7" s="2"/>
      <c r="P7" s="2"/>
    </row>
    <row r="8" spans="1:16">
      <c r="A8" s="2" t="s">
        <v>36</v>
      </c>
      <c r="B8" s="2" t="s">
        <v>16</v>
      </c>
      <c r="C8" s="2" t="s">
        <v>17</v>
      </c>
      <c r="D8" s="2" t="s">
        <v>92</v>
      </c>
      <c r="E8" s="2" t="s">
        <v>19</v>
      </c>
      <c r="F8" s="2" t="s">
        <v>130</v>
      </c>
      <c r="G8" s="2" t="s">
        <v>21</v>
      </c>
      <c r="H8" s="2" t="s">
        <v>22</v>
      </c>
      <c r="I8" s="2" t="s">
        <v>131</v>
      </c>
      <c r="J8" s="2" t="s">
        <v>24</v>
      </c>
      <c r="K8" s="2" t="s">
        <v>25</v>
      </c>
      <c r="L8" s="2" t="s">
        <v>26</v>
      </c>
      <c r="M8" s="2" t="s">
        <v>27</v>
      </c>
      <c r="N8" s="2" t="s">
        <v>28</v>
      </c>
      <c r="O8" s="2" t="s">
        <v>29</v>
      </c>
      <c r="P8" s="2" t="s">
        <v>30</v>
      </c>
    </row>
    <row r="9" spans="1:16">
      <c r="A9" s="2" t="s">
        <v>362</v>
      </c>
      <c r="B9" s="2" t="s">
        <v>16</v>
      </c>
      <c r="C9" s="2" t="s">
        <v>132</v>
      </c>
      <c r="D9" s="2" t="s">
        <v>133</v>
      </c>
      <c r="E9" s="2" t="s">
        <v>134</v>
      </c>
      <c r="F9" s="2" t="s">
        <v>135</v>
      </c>
      <c r="G9" s="2" t="s">
        <v>363</v>
      </c>
      <c r="H9" s="2" t="s">
        <v>364</v>
      </c>
      <c r="I9" s="2" t="s">
        <v>136</v>
      </c>
      <c r="J9" s="2" t="s">
        <v>24</v>
      </c>
      <c r="K9" s="2" t="s">
        <v>39</v>
      </c>
      <c r="L9" s="2" t="s">
        <v>365</v>
      </c>
      <c r="M9" s="2" t="s">
        <v>27</v>
      </c>
      <c r="N9" s="2" t="s">
        <v>41</v>
      </c>
      <c r="O9" s="2" t="s">
        <v>73</v>
      </c>
      <c r="P9" s="2" t="s">
        <v>74</v>
      </c>
    </row>
    <row r="10" spans="1:16">
      <c r="A10" s="2" t="s">
        <v>366</v>
      </c>
      <c r="B10" s="2" t="s">
        <v>16</v>
      </c>
      <c r="C10" s="2" t="s">
        <v>137</v>
      </c>
      <c r="D10" s="2" t="s">
        <v>138</v>
      </c>
      <c r="E10" s="2" t="s">
        <v>139</v>
      </c>
      <c r="F10" s="2" t="s">
        <v>140</v>
      </c>
      <c r="G10" s="2" t="s">
        <v>367</v>
      </c>
      <c r="H10" s="2" t="s">
        <v>368</v>
      </c>
      <c r="I10" s="2" t="s">
        <v>141</v>
      </c>
      <c r="J10" s="2" t="s">
        <v>24</v>
      </c>
      <c r="K10" s="2" t="s">
        <v>47</v>
      </c>
      <c r="L10" s="2" t="s">
        <v>369</v>
      </c>
      <c r="M10" s="2" t="s">
        <v>62</v>
      </c>
      <c r="N10" s="2"/>
      <c r="O10" s="2"/>
      <c r="P10" s="2"/>
    </row>
    <row r="11" spans="1:16">
      <c r="A11" s="2" t="s">
        <v>370</v>
      </c>
      <c r="B11" s="2" t="s">
        <v>16</v>
      </c>
      <c r="C11" s="2" t="s">
        <v>142</v>
      </c>
      <c r="D11" s="2" t="s">
        <v>143</v>
      </c>
      <c r="E11" s="2" t="s">
        <v>144</v>
      </c>
      <c r="F11" s="2" t="s">
        <v>130</v>
      </c>
      <c r="G11" s="2" t="s">
        <v>371</v>
      </c>
      <c r="H11" s="2" t="s">
        <v>372</v>
      </c>
      <c r="I11" s="2" t="s">
        <v>145</v>
      </c>
      <c r="J11" s="2" t="s">
        <v>24</v>
      </c>
      <c r="K11" s="2" t="s">
        <v>90</v>
      </c>
      <c r="L11" s="2" t="s">
        <v>373</v>
      </c>
      <c r="M11" s="2" t="s">
        <v>27</v>
      </c>
      <c r="N11" s="2" t="s">
        <v>28</v>
      </c>
      <c r="O11" s="2" t="s">
        <v>42</v>
      </c>
      <c r="P11" s="2" t="s">
        <v>43</v>
      </c>
    </row>
    <row r="12" spans="1:16">
      <c r="A12" s="2" t="s">
        <v>374</v>
      </c>
      <c r="B12" s="2" t="s">
        <v>16</v>
      </c>
      <c r="C12" s="2" t="s">
        <v>146</v>
      </c>
      <c r="D12" s="2" t="s">
        <v>147</v>
      </c>
      <c r="E12" s="2" t="s">
        <v>148</v>
      </c>
      <c r="F12" s="2" t="s">
        <v>149</v>
      </c>
      <c r="G12" s="2" t="s">
        <v>375</v>
      </c>
      <c r="H12" s="2" t="s">
        <v>376</v>
      </c>
      <c r="I12" s="2" t="s">
        <v>150</v>
      </c>
      <c r="J12" s="2" t="s">
        <v>24</v>
      </c>
      <c r="K12" s="2" t="s">
        <v>25</v>
      </c>
      <c r="L12" s="2" t="s">
        <v>377</v>
      </c>
      <c r="M12" s="2" t="s">
        <v>27</v>
      </c>
      <c r="N12" s="2" t="s">
        <v>41</v>
      </c>
      <c r="O12" s="2" t="s">
        <v>29</v>
      </c>
      <c r="P12" s="2" t="s">
        <v>30</v>
      </c>
    </row>
    <row r="13" spans="1:16">
      <c r="A13" s="2" t="s">
        <v>46</v>
      </c>
      <c r="B13" s="2" t="s">
        <v>16</v>
      </c>
      <c r="C13" s="2" t="s">
        <v>151</v>
      </c>
      <c r="D13" s="2" t="s">
        <v>152</v>
      </c>
      <c r="E13" s="2" t="s">
        <v>153</v>
      </c>
      <c r="F13" s="2" t="s">
        <v>154</v>
      </c>
      <c r="G13" s="2" t="s">
        <v>378</v>
      </c>
      <c r="H13" s="2" t="s">
        <v>379</v>
      </c>
      <c r="I13" s="2" t="s">
        <v>155</v>
      </c>
      <c r="J13" s="2" t="s">
        <v>24</v>
      </c>
      <c r="K13" s="2" t="s">
        <v>50</v>
      </c>
      <c r="L13" s="2" t="s">
        <v>380</v>
      </c>
      <c r="M13" s="2" t="s">
        <v>62</v>
      </c>
      <c r="N13" s="2"/>
      <c r="O13" s="2"/>
      <c r="P13" s="2"/>
    </row>
    <row r="14" spans="1:16">
      <c r="A14" s="2" t="s">
        <v>381</v>
      </c>
      <c r="B14" s="2" t="s">
        <v>31</v>
      </c>
      <c r="C14" s="2" t="s">
        <v>32</v>
      </c>
      <c r="D14" s="2" t="s">
        <v>156</v>
      </c>
      <c r="E14" s="2" t="s">
        <v>157</v>
      </c>
      <c r="F14" s="2" t="s">
        <v>158</v>
      </c>
      <c r="G14" s="2" t="s">
        <v>382</v>
      </c>
      <c r="H14" s="2" t="s">
        <v>37</v>
      </c>
      <c r="I14" s="2" t="s">
        <v>93</v>
      </c>
      <c r="J14" s="2" t="s">
        <v>24</v>
      </c>
      <c r="K14" s="2" t="s">
        <v>39</v>
      </c>
      <c r="L14" s="2" t="s">
        <v>383</v>
      </c>
      <c r="M14" s="2" t="s">
        <v>27</v>
      </c>
      <c r="N14" s="2" t="s">
        <v>28</v>
      </c>
      <c r="O14" s="2" t="s">
        <v>67</v>
      </c>
      <c r="P14" s="2" t="s">
        <v>68</v>
      </c>
    </row>
    <row r="15" spans="1:16">
      <c r="A15" s="2" t="s">
        <v>384</v>
      </c>
      <c r="B15" s="2" t="s">
        <v>31</v>
      </c>
      <c r="C15" s="2" t="s">
        <v>32</v>
      </c>
      <c r="D15" s="2" t="s">
        <v>147</v>
      </c>
      <c r="E15" s="2" t="s">
        <v>34</v>
      </c>
      <c r="F15" s="2" t="s">
        <v>159</v>
      </c>
      <c r="G15" s="2" t="s">
        <v>36</v>
      </c>
      <c r="H15" s="2" t="s">
        <v>37</v>
      </c>
      <c r="I15" s="2" t="s">
        <v>93</v>
      </c>
      <c r="J15" s="2" t="s">
        <v>24</v>
      </c>
      <c r="K15" s="2" t="s">
        <v>39</v>
      </c>
      <c r="L15" s="2" t="s">
        <v>40</v>
      </c>
      <c r="M15" s="2" t="s">
        <v>27</v>
      </c>
      <c r="N15" s="2" t="s">
        <v>41</v>
      </c>
      <c r="O15" s="2" t="s">
        <v>42</v>
      </c>
      <c r="P15" s="2" t="s">
        <v>43</v>
      </c>
    </row>
    <row r="16" spans="1:16">
      <c r="A16" s="2" t="s">
        <v>385</v>
      </c>
      <c r="B16" s="2" t="s">
        <v>16</v>
      </c>
      <c r="C16" s="2" t="s">
        <v>160</v>
      </c>
      <c r="D16" s="2" t="s">
        <v>161</v>
      </c>
      <c r="E16" s="2" t="s">
        <v>162</v>
      </c>
      <c r="F16" s="2" t="s">
        <v>163</v>
      </c>
      <c r="G16" s="2" t="s">
        <v>386</v>
      </c>
      <c r="H16" s="2" t="s">
        <v>387</v>
      </c>
      <c r="I16" s="2" t="s">
        <v>164</v>
      </c>
      <c r="J16" s="2" t="s">
        <v>24</v>
      </c>
      <c r="K16" s="2" t="s">
        <v>90</v>
      </c>
      <c r="L16" s="2" t="s">
        <v>388</v>
      </c>
      <c r="M16" s="2" t="s">
        <v>62</v>
      </c>
      <c r="N16" s="2"/>
      <c r="O16" s="2"/>
      <c r="P16" s="2"/>
    </row>
    <row r="17" spans="1:16">
      <c r="A17" s="2" t="s">
        <v>389</v>
      </c>
      <c r="B17" s="2" t="s">
        <v>16</v>
      </c>
      <c r="C17" s="2" t="s">
        <v>165</v>
      </c>
      <c r="D17" s="2" t="s">
        <v>166</v>
      </c>
      <c r="E17" s="2" t="s">
        <v>167</v>
      </c>
      <c r="F17" s="2" t="s">
        <v>168</v>
      </c>
      <c r="G17" s="2" t="s">
        <v>390</v>
      </c>
      <c r="H17" s="2" t="s">
        <v>391</v>
      </c>
      <c r="I17" s="2" t="s">
        <v>169</v>
      </c>
      <c r="J17" s="2" t="s">
        <v>24</v>
      </c>
      <c r="K17" s="2" t="s">
        <v>25</v>
      </c>
      <c r="L17" s="2" t="s">
        <v>392</v>
      </c>
      <c r="M17" s="2" t="s">
        <v>27</v>
      </c>
      <c r="N17" s="2" t="s">
        <v>28</v>
      </c>
      <c r="O17" s="2" t="s">
        <v>73</v>
      </c>
      <c r="P17" s="2" t="s">
        <v>74</v>
      </c>
    </row>
    <row r="18" spans="1:16">
      <c r="A18" s="2" t="s">
        <v>393</v>
      </c>
      <c r="B18" s="2" t="s">
        <v>16</v>
      </c>
      <c r="C18" s="2" t="s">
        <v>170</v>
      </c>
      <c r="D18" s="2" t="s">
        <v>84</v>
      </c>
      <c r="E18" s="2" t="s">
        <v>171</v>
      </c>
      <c r="F18" s="2" t="s">
        <v>172</v>
      </c>
      <c r="G18" s="2" t="s">
        <v>394</v>
      </c>
      <c r="H18" s="2" t="s">
        <v>395</v>
      </c>
      <c r="I18" s="2" t="s">
        <v>173</v>
      </c>
      <c r="J18" s="2" t="s">
        <v>24</v>
      </c>
      <c r="K18" s="2" t="s">
        <v>50</v>
      </c>
      <c r="L18" s="2" t="s">
        <v>396</v>
      </c>
      <c r="M18" s="2" t="s">
        <v>27</v>
      </c>
      <c r="N18" s="2" t="s">
        <v>41</v>
      </c>
      <c r="O18" s="2" t="s">
        <v>67</v>
      </c>
      <c r="P18" s="2" t="s">
        <v>68</v>
      </c>
    </row>
    <row r="19" spans="1:16">
      <c r="A19" s="2" t="s">
        <v>21</v>
      </c>
      <c r="B19" s="2" t="s">
        <v>16</v>
      </c>
      <c r="C19" s="2" t="s">
        <v>174</v>
      </c>
      <c r="D19" s="2" t="s">
        <v>175</v>
      </c>
      <c r="E19" s="2" t="s">
        <v>176</v>
      </c>
      <c r="F19" s="2" t="s">
        <v>177</v>
      </c>
      <c r="G19" s="2" t="s">
        <v>397</v>
      </c>
      <c r="H19" s="2" t="s">
        <v>398</v>
      </c>
      <c r="I19" s="2" t="s">
        <v>178</v>
      </c>
      <c r="J19" s="2" t="s">
        <v>24</v>
      </c>
      <c r="K19" s="2" t="s">
        <v>39</v>
      </c>
      <c r="L19" s="2" t="s">
        <v>399</v>
      </c>
      <c r="M19" s="2" t="s">
        <v>62</v>
      </c>
      <c r="N19" s="2"/>
      <c r="O19" s="2"/>
      <c r="P19" s="2"/>
    </row>
    <row r="20" spans="1:16">
      <c r="A20" s="2" t="s">
        <v>400</v>
      </c>
      <c r="B20" s="2" t="s">
        <v>16</v>
      </c>
      <c r="C20" s="2" t="s">
        <v>83</v>
      </c>
      <c r="D20" s="2" t="s">
        <v>84</v>
      </c>
      <c r="E20" s="2" t="s">
        <v>85</v>
      </c>
      <c r="F20" s="2" t="s">
        <v>179</v>
      </c>
      <c r="G20" s="2" t="s">
        <v>124</v>
      </c>
      <c r="H20" s="2" t="s">
        <v>88</v>
      </c>
      <c r="I20" s="2" t="s">
        <v>89</v>
      </c>
      <c r="J20" s="2" t="s">
        <v>24</v>
      </c>
      <c r="K20" s="2" t="s">
        <v>50</v>
      </c>
      <c r="L20" s="2" t="s">
        <v>401</v>
      </c>
      <c r="M20" s="2" t="s">
        <v>27</v>
      </c>
      <c r="N20" s="2" t="s">
        <v>28</v>
      </c>
      <c r="O20" s="2" t="s">
        <v>29</v>
      </c>
      <c r="P20" s="2" t="s">
        <v>30</v>
      </c>
    </row>
    <row r="21" spans="1:16">
      <c r="A21" s="2" t="s">
        <v>402</v>
      </c>
      <c r="B21" s="2" t="s">
        <v>16</v>
      </c>
      <c r="C21" s="2" t="s">
        <v>180</v>
      </c>
      <c r="D21" s="2" t="s">
        <v>181</v>
      </c>
      <c r="E21" s="2" t="s">
        <v>182</v>
      </c>
      <c r="F21" s="2" t="s">
        <v>183</v>
      </c>
      <c r="G21" s="2" t="s">
        <v>403</v>
      </c>
      <c r="H21" s="2" t="s">
        <v>404</v>
      </c>
      <c r="I21" s="2" t="s">
        <v>184</v>
      </c>
      <c r="J21" s="2" t="s">
        <v>24</v>
      </c>
      <c r="K21" s="2" t="s">
        <v>90</v>
      </c>
      <c r="L21" s="2" t="s">
        <v>405</v>
      </c>
      <c r="M21" s="2" t="s">
        <v>27</v>
      </c>
      <c r="N21" s="2" t="s">
        <v>41</v>
      </c>
      <c r="O21" s="2" t="s">
        <v>73</v>
      </c>
      <c r="P21" s="2" t="s">
        <v>74</v>
      </c>
    </row>
    <row r="22" spans="1:16">
      <c r="A22" s="2" t="s">
        <v>406</v>
      </c>
      <c r="B22" s="2" t="s">
        <v>16</v>
      </c>
      <c r="C22" s="2" t="s">
        <v>185</v>
      </c>
      <c r="D22" s="2" t="s">
        <v>186</v>
      </c>
      <c r="E22" s="2" t="s">
        <v>187</v>
      </c>
      <c r="F22" s="2" t="s">
        <v>188</v>
      </c>
      <c r="G22" s="2" t="s">
        <v>407</v>
      </c>
      <c r="H22" s="2" t="s">
        <v>88</v>
      </c>
      <c r="I22" s="2" t="s">
        <v>89</v>
      </c>
      <c r="J22" s="2" t="s">
        <v>24</v>
      </c>
      <c r="K22" s="2" t="s">
        <v>25</v>
      </c>
      <c r="L22" s="2" t="s">
        <v>408</v>
      </c>
      <c r="M22" s="2" t="s">
        <v>62</v>
      </c>
      <c r="N22" s="2"/>
      <c r="O22" s="2"/>
      <c r="P22" s="2"/>
    </row>
    <row r="23" spans="1:16">
      <c r="A23" s="2" t="s">
        <v>79</v>
      </c>
      <c r="B23" s="2" t="s">
        <v>16</v>
      </c>
      <c r="C23" s="2" t="s">
        <v>189</v>
      </c>
      <c r="D23" s="2" t="s">
        <v>190</v>
      </c>
      <c r="E23" s="2" t="s">
        <v>191</v>
      </c>
      <c r="F23" s="2" t="s">
        <v>192</v>
      </c>
      <c r="G23" s="2" t="s">
        <v>409</v>
      </c>
      <c r="H23" s="2" t="s">
        <v>410</v>
      </c>
      <c r="I23" s="2" t="s">
        <v>193</v>
      </c>
      <c r="J23" s="2" t="s">
        <v>24</v>
      </c>
      <c r="K23" s="2" t="s">
        <v>50</v>
      </c>
      <c r="L23" s="2" t="s">
        <v>411</v>
      </c>
      <c r="M23" s="2" t="s">
        <v>27</v>
      </c>
      <c r="N23" s="2" t="s">
        <v>28</v>
      </c>
      <c r="O23" s="2" t="s">
        <v>42</v>
      </c>
      <c r="P23" s="2" t="s">
        <v>43</v>
      </c>
    </row>
    <row r="24" spans="1:16">
      <c r="A24" s="2" t="s">
        <v>412</v>
      </c>
      <c r="B24" s="2" t="s">
        <v>16</v>
      </c>
      <c r="C24" s="2" t="s">
        <v>194</v>
      </c>
      <c r="D24" s="2" t="s">
        <v>195</v>
      </c>
      <c r="E24" s="2" t="s">
        <v>196</v>
      </c>
      <c r="F24" s="2" t="s">
        <v>123</v>
      </c>
      <c r="G24" s="2" t="s">
        <v>413</v>
      </c>
      <c r="H24" s="2" t="s">
        <v>414</v>
      </c>
      <c r="I24" s="2" t="s">
        <v>197</v>
      </c>
      <c r="J24" s="2" t="s">
        <v>24</v>
      </c>
      <c r="K24" s="2" t="s">
        <v>39</v>
      </c>
      <c r="L24" s="2" t="s">
        <v>415</v>
      </c>
      <c r="M24" s="2" t="s">
        <v>27</v>
      </c>
      <c r="N24" s="2" t="s">
        <v>41</v>
      </c>
      <c r="O24" s="2" t="s">
        <v>29</v>
      </c>
      <c r="P24" s="2" t="s">
        <v>30</v>
      </c>
    </row>
    <row r="25" spans="1:16">
      <c r="A25" s="2" t="s">
        <v>416</v>
      </c>
      <c r="B25" s="2" t="s">
        <v>16</v>
      </c>
      <c r="C25" s="2" t="s">
        <v>198</v>
      </c>
      <c r="D25" s="2" t="s">
        <v>199</v>
      </c>
      <c r="E25" s="2" t="s">
        <v>200</v>
      </c>
      <c r="F25" s="2" t="s">
        <v>201</v>
      </c>
      <c r="G25" s="2" t="s">
        <v>417</v>
      </c>
      <c r="H25" s="2" t="s">
        <v>22</v>
      </c>
      <c r="I25" s="2" t="s">
        <v>131</v>
      </c>
      <c r="J25" s="2" t="s">
        <v>24</v>
      </c>
      <c r="K25" s="2" t="s">
        <v>47</v>
      </c>
      <c r="L25" s="2" t="s">
        <v>418</v>
      </c>
      <c r="M25" s="2" t="s">
        <v>62</v>
      </c>
      <c r="N25" s="2"/>
      <c r="O25" s="2"/>
      <c r="P25" s="2"/>
    </row>
    <row r="26" spans="1:16">
      <c r="A26" s="2" t="s">
        <v>419</v>
      </c>
      <c r="B26" s="2" t="s">
        <v>16</v>
      </c>
      <c r="C26" s="2" t="s">
        <v>202</v>
      </c>
      <c r="D26" s="2" t="s">
        <v>203</v>
      </c>
      <c r="E26" s="2" t="s">
        <v>204</v>
      </c>
      <c r="F26" s="2" t="s">
        <v>107</v>
      </c>
      <c r="G26" s="2" t="s">
        <v>420</v>
      </c>
      <c r="H26" s="2" t="s">
        <v>343</v>
      </c>
      <c r="I26" s="2" t="s">
        <v>108</v>
      </c>
      <c r="J26" s="2" t="s">
        <v>24</v>
      </c>
      <c r="K26" s="2" t="s">
        <v>90</v>
      </c>
      <c r="L26" s="2" t="s">
        <v>421</v>
      </c>
      <c r="M26" s="2" t="s">
        <v>27</v>
      </c>
      <c r="N26" s="2" t="s">
        <v>28</v>
      </c>
      <c r="O26" s="2" t="s">
        <v>67</v>
      </c>
      <c r="P26" s="2" t="s">
        <v>68</v>
      </c>
    </row>
    <row r="27" spans="1:16">
      <c r="A27" s="2" t="s">
        <v>422</v>
      </c>
      <c r="B27" s="2" t="s">
        <v>31</v>
      </c>
      <c r="C27" s="2" t="s">
        <v>54</v>
      </c>
      <c r="D27" s="2" t="s">
        <v>205</v>
      </c>
      <c r="E27" s="2" t="s">
        <v>206</v>
      </c>
      <c r="F27" s="2" t="s">
        <v>112</v>
      </c>
      <c r="G27" s="2" t="s">
        <v>423</v>
      </c>
      <c r="H27" s="2" t="s">
        <v>59</v>
      </c>
      <c r="I27" s="2" t="s">
        <v>94</v>
      </c>
      <c r="J27" s="2" t="s">
        <v>24</v>
      </c>
      <c r="K27" s="2" t="s">
        <v>25</v>
      </c>
      <c r="L27" s="2" t="s">
        <v>424</v>
      </c>
      <c r="M27" s="2" t="s">
        <v>27</v>
      </c>
      <c r="N27" s="2" t="s">
        <v>41</v>
      </c>
      <c r="O27" s="2" t="s">
        <v>42</v>
      </c>
      <c r="P27" s="2" t="s">
        <v>43</v>
      </c>
    </row>
    <row r="28" spans="1:16">
      <c r="A28" s="2" t="s">
        <v>425</v>
      </c>
      <c r="B28" s="2" t="s">
        <v>16</v>
      </c>
      <c r="C28" s="2" t="s">
        <v>207</v>
      </c>
      <c r="D28" s="2" t="s">
        <v>208</v>
      </c>
      <c r="E28" s="2" t="s">
        <v>209</v>
      </c>
      <c r="F28" s="2" t="s">
        <v>116</v>
      </c>
      <c r="G28" s="2" t="s">
        <v>426</v>
      </c>
      <c r="H28" s="2" t="s">
        <v>350</v>
      </c>
      <c r="I28" s="2" t="s">
        <v>117</v>
      </c>
      <c r="J28" s="2" t="s">
        <v>24</v>
      </c>
      <c r="K28" s="2" t="s">
        <v>50</v>
      </c>
      <c r="L28" s="2" t="s">
        <v>427</v>
      </c>
      <c r="M28" s="2" t="s">
        <v>62</v>
      </c>
      <c r="N28" s="2"/>
      <c r="O28" s="2"/>
      <c r="P28" s="2"/>
    </row>
    <row r="29" spans="1:16">
      <c r="A29" s="2" t="s">
        <v>428</v>
      </c>
      <c r="B29" s="2" t="s">
        <v>16</v>
      </c>
      <c r="C29" s="2" t="s">
        <v>17</v>
      </c>
      <c r="D29" s="2" t="s">
        <v>210</v>
      </c>
      <c r="E29" s="2" t="s">
        <v>211</v>
      </c>
      <c r="F29" s="2" t="s">
        <v>177</v>
      </c>
      <c r="G29" s="2" t="s">
        <v>370</v>
      </c>
      <c r="H29" s="2" t="s">
        <v>360</v>
      </c>
      <c r="I29" s="2" t="s">
        <v>129</v>
      </c>
      <c r="J29" s="2" t="s">
        <v>24</v>
      </c>
      <c r="K29" s="2" t="s">
        <v>50</v>
      </c>
      <c r="L29" s="2" t="s">
        <v>429</v>
      </c>
      <c r="M29" s="2" t="s">
        <v>27</v>
      </c>
      <c r="N29" s="2" t="s">
        <v>28</v>
      </c>
      <c r="O29" s="2" t="s">
        <v>73</v>
      </c>
      <c r="P29" s="2" t="s">
        <v>74</v>
      </c>
    </row>
    <row r="30" spans="1:16">
      <c r="A30" s="2" t="s">
        <v>430</v>
      </c>
      <c r="B30" s="2" t="s">
        <v>16</v>
      </c>
      <c r="C30" s="2" t="s">
        <v>212</v>
      </c>
      <c r="D30" s="2" t="s">
        <v>213</v>
      </c>
      <c r="E30" s="2" t="s">
        <v>214</v>
      </c>
      <c r="F30" s="2" t="s">
        <v>159</v>
      </c>
      <c r="G30" s="2" t="s">
        <v>431</v>
      </c>
      <c r="H30" s="2" t="s">
        <v>432</v>
      </c>
      <c r="I30" s="2" t="s">
        <v>215</v>
      </c>
      <c r="J30" s="2" t="s">
        <v>24</v>
      </c>
      <c r="K30" s="2" t="s">
        <v>47</v>
      </c>
      <c r="L30" s="2" t="s">
        <v>433</v>
      </c>
      <c r="M30" s="2" t="s">
        <v>27</v>
      </c>
      <c r="N30" s="2" t="s">
        <v>41</v>
      </c>
      <c r="O30" s="2" t="s">
        <v>67</v>
      </c>
      <c r="P30" s="2" t="s">
        <v>68</v>
      </c>
    </row>
    <row r="31" spans="1:16">
      <c r="A31" s="2" t="s">
        <v>434</v>
      </c>
      <c r="B31" s="2" t="s">
        <v>16</v>
      </c>
      <c r="C31" s="2" t="s">
        <v>17</v>
      </c>
      <c r="D31" s="2" t="s">
        <v>92</v>
      </c>
      <c r="E31" s="2" t="s">
        <v>216</v>
      </c>
      <c r="F31" s="2" t="s">
        <v>128</v>
      </c>
      <c r="G31" s="2" t="s">
        <v>435</v>
      </c>
      <c r="H31" s="2" t="s">
        <v>360</v>
      </c>
      <c r="I31" s="2" t="s">
        <v>129</v>
      </c>
      <c r="J31" s="2" t="s">
        <v>24</v>
      </c>
      <c r="K31" s="2" t="s">
        <v>90</v>
      </c>
      <c r="L31" s="2" t="s">
        <v>436</v>
      </c>
      <c r="M31" s="2" t="s">
        <v>62</v>
      </c>
      <c r="N31" s="2"/>
      <c r="O31" s="2"/>
      <c r="P31" s="2"/>
    </row>
    <row r="32" spans="1:16">
      <c r="A32" s="2" t="s">
        <v>437</v>
      </c>
      <c r="B32" s="2" t="s">
        <v>16</v>
      </c>
      <c r="C32" s="2" t="s">
        <v>17</v>
      </c>
      <c r="D32" s="2" t="s">
        <v>92</v>
      </c>
      <c r="E32" s="2" t="s">
        <v>44</v>
      </c>
      <c r="F32" s="2" t="s">
        <v>201</v>
      </c>
      <c r="G32" s="2" t="s">
        <v>46</v>
      </c>
      <c r="H32" s="2" t="s">
        <v>22</v>
      </c>
      <c r="I32" s="2" t="s">
        <v>131</v>
      </c>
      <c r="J32" s="2" t="s">
        <v>24</v>
      </c>
      <c r="K32" s="2" t="s">
        <v>47</v>
      </c>
      <c r="L32" s="2" t="s">
        <v>48</v>
      </c>
      <c r="M32" s="2" t="s">
        <v>27</v>
      </c>
      <c r="N32" s="2" t="s">
        <v>28</v>
      </c>
      <c r="O32" s="2" t="s">
        <v>29</v>
      </c>
      <c r="P32" s="2" t="s">
        <v>30</v>
      </c>
    </row>
    <row r="33" spans="1:16">
      <c r="A33" s="2" t="s">
        <v>438</v>
      </c>
      <c r="B33" s="2" t="s">
        <v>16</v>
      </c>
      <c r="C33" s="2" t="s">
        <v>109</v>
      </c>
      <c r="D33" s="2" t="s">
        <v>110</v>
      </c>
      <c r="E33" s="2" t="s">
        <v>217</v>
      </c>
      <c r="F33" s="2" t="s">
        <v>135</v>
      </c>
      <c r="G33" s="2" t="s">
        <v>439</v>
      </c>
      <c r="H33" s="2" t="s">
        <v>364</v>
      </c>
      <c r="I33" s="2" t="s">
        <v>136</v>
      </c>
      <c r="J33" s="2" t="s">
        <v>24</v>
      </c>
      <c r="K33" s="2" t="s">
        <v>50</v>
      </c>
      <c r="L33" s="2" t="s">
        <v>440</v>
      </c>
      <c r="M33" s="2" t="s">
        <v>27</v>
      </c>
      <c r="N33" s="2" t="s">
        <v>41</v>
      </c>
      <c r="O33" s="2" t="s">
        <v>73</v>
      </c>
      <c r="P33" s="2" t="s">
        <v>74</v>
      </c>
    </row>
    <row r="34" spans="1:16">
      <c r="A34" s="2" t="s">
        <v>441</v>
      </c>
      <c r="B34" s="2" t="s">
        <v>16</v>
      </c>
      <c r="C34" s="2" t="s">
        <v>113</v>
      </c>
      <c r="D34" s="2" t="s">
        <v>114</v>
      </c>
      <c r="E34" s="2" t="s">
        <v>218</v>
      </c>
      <c r="F34" s="2" t="s">
        <v>140</v>
      </c>
      <c r="G34" s="2" t="s">
        <v>442</v>
      </c>
      <c r="H34" s="2" t="s">
        <v>368</v>
      </c>
      <c r="I34" s="2" t="s">
        <v>141</v>
      </c>
      <c r="J34" s="2" t="s">
        <v>24</v>
      </c>
      <c r="K34" s="2" t="s">
        <v>39</v>
      </c>
      <c r="L34" s="2" t="s">
        <v>443</v>
      </c>
      <c r="M34" s="2" t="s">
        <v>62</v>
      </c>
      <c r="N34" s="2"/>
      <c r="O34" s="2"/>
      <c r="P34" s="2"/>
    </row>
    <row r="35" spans="1:16">
      <c r="A35" s="2" t="s">
        <v>444</v>
      </c>
      <c r="B35" s="2" t="s">
        <v>16</v>
      </c>
      <c r="C35" s="2" t="s">
        <v>118</v>
      </c>
      <c r="D35" s="2" t="s">
        <v>119</v>
      </c>
      <c r="E35" s="2" t="s">
        <v>219</v>
      </c>
      <c r="F35" s="2" t="s">
        <v>130</v>
      </c>
      <c r="G35" s="2" t="s">
        <v>445</v>
      </c>
      <c r="H35" s="2" t="s">
        <v>372</v>
      </c>
      <c r="I35" s="2" t="s">
        <v>145</v>
      </c>
      <c r="J35" s="2" t="s">
        <v>24</v>
      </c>
      <c r="K35" s="2" t="s">
        <v>47</v>
      </c>
      <c r="L35" s="2" t="s">
        <v>446</v>
      </c>
      <c r="M35" s="2" t="s">
        <v>27</v>
      </c>
      <c r="N35" s="2" t="s">
        <v>28</v>
      </c>
      <c r="O35" s="2" t="s">
        <v>42</v>
      </c>
      <c r="P35" s="2" t="s">
        <v>43</v>
      </c>
    </row>
    <row r="36" spans="1:16">
      <c r="A36" s="2" t="s">
        <v>447</v>
      </c>
      <c r="B36" s="2" t="s">
        <v>16</v>
      </c>
      <c r="C36" s="2" t="s">
        <v>220</v>
      </c>
      <c r="D36" s="2" t="s">
        <v>221</v>
      </c>
      <c r="E36" s="2" t="s">
        <v>222</v>
      </c>
      <c r="F36" s="2" t="s">
        <v>149</v>
      </c>
      <c r="G36" s="2" t="s">
        <v>448</v>
      </c>
      <c r="H36" s="2" t="s">
        <v>376</v>
      </c>
      <c r="I36" s="2" t="s">
        <v>150</v>
      </c>
      <c r="J36" s="2" t="s">
        <v>24</v>
      </c>
      <c r="K36" s="2" t="s">
        <v>90</v>
      </c>
      <c r="L36" s="2" t="s">
        <v>449</v>
      </c>
      <c r="M36" s="2" t="s">
        <v>27</v>
      </c>
      <c r="N36" s="2" t="s">
        <v>41</v>
      </c>
      <c r="O36" s="2" t="s">
        <v>29</v>
      </c>
      <c r="P36" s="2" t="s">
        <v>30</v>
      </c>
    </row>
    <row r="37" spans="1:16">
      <c r="A37" s="2" t="s">
        <v>450</v>
      </c>
      <c r="B37" s="2" t="s">
        <v>16</v>
      </c>
      <c r="C37" s="2" t="s">
        <v>125</v>
      </c>
      <c r="D37" s="2" t="s">
        <v>126</v>
      </c>
      <c r="E37" s="2" t="s">
        <v>223</v>
      </c>
      <c r="F37" s="2" t="s">
        <v>154</v>
      </c>
      <c r="G37" s="2" t="s">
        <v>451</v>
      </c>
      <c r="H37" s="2" t="s">
        <v>379</v>
      </c>
      <c r="I37" s="2" t="s">
        <v>155</v>
      </c>
      <c r="J37" s="2" t="s">
        <v>24</v>
      </c>
      <c r="K37" s="2" t="s">
        <v>25</v>
      </c>
      <c r="L37" s="2" t="s">
        <v>452</v>
      </c>
      <c r="M37" s="2" t="s">
        <v>62</v>
      </c>
      <c r="N37" s="2"/>
      <c r="O37" s="2"/>
      <c r="P37" s="2"/>
    </row>
    <row r="38" spans="1:16">
      <c r="A38" s="2" t="s">
        <v>453</v>
      </c>
      <c r="B38" s="2" t="s">
        <v>16</v>
      </c>
      <c r="C38" s="2" t="s">
        <v>83</v>
      </c>
      <c r="D38" s="2" t="s">
        <v>84</v>
      </c>
      <c r="E38" s="2" t="s">
        <v>85</v>
      </c>
      <c r="F38" s="2" t="s">
        <v>224</v>
      </c>
      <c r="G38" s="2" t="s">
        <v>124</v>
      </c>
      <c r="H38" s="2" t="s">
        <v>88</v>
      </c>
      <c r="I38" s="2" t="s">
        <v>89</v>
      </c>
      <c r="J38" s="2" t="s">
        <v>24</v>
      </c>
      <c r="K38" s="2" t="s">
        <v>39</v>
      </c>
      <c r="L38" s="2" t="s">
        <v>454</v>
      </c>
      <c r="M38" s="2" t="s">
        <v>27</v>
      </c>
      <c r="N38" s="2" t="s">
        <v>28</v>
      </c>
      <c r="O38" s="2" t="s">
        <v>67</v>
      </c>
      <c r="P38" s="2" t="s">
        <v>68</v>
      </c>
    </row>
    <row r="39" spans="1:16">
      <c r="A39" s="2" t="s">
        <v>455</v>
      </c>
      <c r="B39" s="2" t="s">
        <v>16</v>
      </c>
      <c r="C39" s="2" t="s">
        <v>132</v>
      </c>
      <c r="D39" s="2" t="s">
        <v>133</v>
      </c>
      <c r="E39" s="2" t="s">
        <v>225</v>
      </c>
      <c r="F39" s="2" t="s">
        <v>226</v>
      </c>
      <c r="G39" s="2" t="s">
        <v>456</v>
      </c>
      <c r="H39" s="2" t="s">
        <v>457</v>
      </c>
      <c r="I39" s="2" t="s">
        <v>227</v>
      </c>
      <c r="J39" s="2" t="s">
        <v>24</v>
      </c>
      <c r="K39" s="2" t="s">
        <v>39</v>
      </c>
      <c r="L39" s="2" t="s">
        <v>458</v>
      </c>
      <c r="M39" s="2" t="s">
        <v>27</v>
      </c>
      <c r="N39" s="2" t="s">
        <v>41</v>
      </c>
      <c r="O39" s="2" t="s">
        <v>42</v>
      </c>
      <c r="P39" s="2" t="s">
        <v>43</v>
      </c>
    </row>
    <row r="40" spans="1:16">
      <c r="A40" s="2" t="s">
        <v>459</v>
      </c>
      <c r="B40" s="2" t="s">
        <v>31</v>
      </c>
      <c r="C40" s="2" t="s">
        <v>137</v>
      </c>
      <c r="D40" s="2" t="s">
        <v>138</v>
      </c>
      <c r="E40" s="2" t="s">
        <v>228</v>
      </c>
      <c r="F40" s="2" t="s">
        <v>163</v>
      </c>
      <c r="G40" s="2" t="s">
        <v>460</v>
      </c>
      <c r="H40" s="2" t="s">
        <v>387</v>
      </c>
      <c r="I40" s="2" t="s">
        <v>164</v>
      </c>
      <c r="J40" s="2" t="s">
        <v>24</v>
      </c>
      <c r="K40" s="2" t="s">
        <v>47</v>
      </c>
      <c r="L40" s="2" t="s">
        <v>461</v>
      </c>
      <c r="M40" s="2" t="s">
        <v>62</v>
      </c>
      <c r="N40" s="2"/>
      <c r="O40" s="2"/>
      <c r="P40" s="2"/>
    </row>
    <row r="41" spans="1:16">
      <c r="A41" s="2" t="s">
        <v>462</v>
      </c>
      <c r="B41" s="2" t="s">
        <v>16</v>
      </c>
      <c r="C41" s="2" t="s">
        <v>142</v>
      </c>
      <c r="D41" s="2" t="s">
        <v>143</v>
      </c>
      <c r="E41" s="2" t="s">
        <v>229</v>
      </c>
      <c r="F41" s="2" t="s">
        <v>168</v>
      </c>
      <c r="G41" s="2" t="s">
        <v>463</v>
      </c>
      <c r="H41" s="2" t="s">
        <v>391</v>
      </c>
      <c r="I41" s="2" t="s">
        <v>169</v>
      </c>
      <c r="J41" s="2" t="s">
        <v>24</v>
      </c>
      <c r="K41" s="2" t="s">
        <v>90</v>
      </c>
      <c r="L41" s="2" t="s">
        <v>464</v>
      </c>
      <c r="M41" s="2" t="s">
        <v>27</v>
      </c>
      <c r="N41" s="2" t="s">
        <v>28</v>
      </c>
      <c r="O41" s="2" t="s">
        <v>73</v>
      </c>
      <c r="P41" s="2" t="s">
        <v>74</v>
      </c>
    </row>
    <row r="42" spans="1:16">
      <c r="A42" s="2" t="s">
        <v>465</v>
      </c>
      <c r="B42" s="2" t="s">
        <v>16</v>
      </c>
      <c r="C42" s="2" t="s">
        <v>146</v>
      </c>
      <c r="D42" s="2" t="s">
        <v>147</v>
      </c>
      <c r="E42" s="2" t="s">
        <v>230</v>
      </c>
      <c r="F42" s="2" t="s">
        <v>172</v>
      </c>
      <c r="G42" s="2" t="s">
        <v>466</v>
      </c>
      <c r="H42" s="2" t="s">
        <v>395</v>
      </c>
      <c r="I42" s="2" t="s">
        <v>173</v>
      </c>
      <c r="J42" s="2" t="s">
        <v>24</v>
      </c>
      <c r="K42" s="2" t="s">
        <v>25</v>
      </c>
      <c r="L42" s="2" t="s">
        <v>467</v>
      </c>
      <c r="M42" s="2" t="s">
        <v>27</v>
      </c>
      <c r="N42" s="2" t="s">
        <v>41</v>
      </c>
      <c r="O42" s="2" t="s">
        <v>67</v>
      </c>
      <c r="P42" s="2" t="s">
        <v>68</v>
      </c>
    </row>
    <row r="43" spans="1:16">
      <c r="A43" s="2" t="s">
        <v>468</v>
      </c>
      <c r="B43" s="2" t="s">
        <v>16</v>
      </c>
      <c r="C43" s="2" t="s">
        <v>151</v>
      </c>
      <c r="D43" s="2" t="s">
        <v>152</v>
      </c>
      <c r="E43" s="2" t="s">
        <v>231</v>
      </c>
      <c r="F43" s="2" t="s">
        <v>177</v>
      </c>
      <c r="G43" s="2" t="s">
        <v>469</v>
      </c>
      <c r="H43" s="2" t="s">
        <v>398</v>
      </c>
      <c r="I43" s="2" t="s">
        <v>178</v>
      </c>
      <c r="J43" s="2" t="s">
        <v>24</v>
      </c>
      <c r="K43" s="2" t="s">
        <v>50</v>
      </c>
      <c r="L43" s="2" t="s">
        <v>470</v>
      </c>
      <c r="M43" s="2" t="s">
        <v>62</v>
      </c>
      <c r="N43" s="2"/>
      <c r="O43" s="2"/>
      <c r="P43" s="2"/>
    </row>
    <row r="44" spans="1:16">
      <c r="A44" s="2" t="s">
        <v>471</v>
      </c>
      <c r="B44" s="2" t="s">
        <v>16</v>
      </c>
      <c r="C44" s="2" t="s">
        <v>32</v>
      </c>
      <c r="D44" s="2" t="s">
        <v>156</v>
      </c>
      <c r="E44" s="2" t="s">
        <v>232</v>
      </c>
      <c r="F44" s="2" t="s">
        <v>233</v>
      </c>
      <c r="G44" s="2" t="s">
        <v>472</v>
      </c>
      <c r="H44" s="2" t="s">
        <v>473</v>
      </c>
      <c r="I44" s="2" t="s">
        <v>234</v>
      </c>
      <c r="J44" s="2" t="s">
        <v>24</v>
      </c>
      <c r="K44" s="2" t="s">
        <v>39</v>
      </c>
      <c r="L44" s="2" t="s">
        <v>474</v>
      </c>
      <c r="M44" s="2" t="s">
        <v>27</v>
      </c>
      <c r="N44" s="2" t="s">
        <v>28</v>
      </c>
      <c r="O44" s="2" t="s">
        <v>29</v>
      </c>
      <c r="P44" s="2" t="s">
        <v>30</v>
      </c>
    </row>
    <row r="45" spans="1:16">
      <c r="A45" s="2" t="s">
        <v>475</v>
      </c>
      <c r="B45" s="2" t="s">
        <v>16</v>
      </c>
      <c r="C45" s="2" t="s">
        <v>75</v>
      </c>
      <c r="D45" s="2" t="s">
        <v>235</v>
      </c>
      <c r="E45" s="2" t="s">
        <v>236</v>
      </c>
      <c r="F45" s="2" t="s">
        <v>183</v>
      </c>
      <c r="G45" s="2" t="s">
        <v>476</v>
      </c>
      <c r="H45" s="2" t="s">
        <v>404</v>
      </c>
      <c r="I45" s="2" t="s">
        <v>184</v>
      </c>
      <c r="J45" s="2" t="s">
        <v>24</v>
      </c>
      <c r="K45" s="2" t="s">
        <v>47</v>
      </c>
      <c r="L45" s="2" t="s">
        <v>477</v>
      </c>
      <c r="M45" s="2" t="s">
        <v>27</v>
      </c>
      <c r="N45" s="2" t="s">
        <v>41</v>
      </c>
      <c r="O45" s="2" t="s">
        <v>73</v>
      </c>
      <c r="P45" s="2" t="s">
        <v>74</v>
      </c>
    </row>
    <row r="46" spans="1:16">
      <c r="A46" s="2" t="s">
        <v>478</v>
      </c>
      <c r="B46" s="2" t="s">
        <v>16</v>
      </c>
      <c r="C46" s="2" t="s">
        <v>160</v>
      </c>
      <c r="D46" s="2" t="s">
        <v>161</v>
      </c>
      <c r="E46" s="2" t="s">
        <v>237</v>
      </c>
      <c r="F46" s="2" t="s">
        <v>188</v>
      </c>
      <c r="G46" s="2" t="s">
        <v>479</v>
      </c>
      <c r="H46" s="2" t="s">
        <v>88</v>
      </c>
      <c r="I46" s="2" t="s">
        <v>89</v>
      </c>
      <c r="J46" s="2" t="s">
        <v>24</v>
      </c>
      <c r="K46" s="2" t="s">
        <v>90</v>
      </c>
      <c r="L46" s="2" t="s">
        <v>480</v>
      </c>
      <c r="M46" s="2" t="s">
        <v>62</v>
      </c>
      <c r="N46" s="2"/>
      <c r="O46" s="2"/>
      <c r="P46" s="2"/>
    </row>
    <row r="47" spans="1:16">
      <c r="A47" s="2" t="s">
        <v>481</v>
      </c>
      <c r="B47" s="2" t="s">
        <v>16</v>
      </c>
      <c r="C47" s="2" t="s">
        <v>165</v>
      </c>
      <c r="D47" s="2" t="s">
        <v>166</v>
      </c>
      <c r="E47" s="2" t="s">
        <v>238</v>
      </c>
      <c r="F47" s="2" t="s">
        <v>192</v>
      </c>
      <c r="G47" s="2" t="s">
        <v>482</v>
      </c>
      <c r="H47" s="2" t="s">
        <v>410</v>
      </c>
      <c r="I47" s="2" t="s">
        <v>193</v>
      </c>
      <c r="J47" s="2" t="s">
        <v>24</v>
      </c>
      <c r="K47" s="2" t="s">
        <v>25</v>
      </c>
      <c r="L47" s="2" t="s">
        <v>483</v>
      </c>
      <c r="M47" s="2" t="s">
        <v>27</v>
      </c>
      <c r="N47" s="2" t="s">
        <v>28</v>
      </c>
      <c r="O47" s="2" t="s">
        <v>42</v>
      </c>
      <c r="P47" s="2" t="s">
        <v>43</v>
      </c>
    </row>
    <row r="48" spans="1:16">
      <c r="A48" s="2" t="s">
        <v>484</v>
      </c>
      <c r="B48" s="2" t="s">
        <v>16</v>
      </c>
      <c r="C48" s="2" t="s">
        <v>170</v>
      </c>
      <c r="D48" s="2" t="s">
        <v>84</v>
      </c>
      <c r="E48" s="2" t="s">
        <v>239</v>
      </c>
      <c r="F48" s="2" t="s">
        <v>123</v>
      </c>
      <c r="G48" s="2" t="s">
        <v>485</v>
      </c>
      <c r="H48" s="2" t="s">
        <v>414</v>
      </c>
      <c r="I48" s="2" t="s">
        <v>197</v>
      </c>
      <c r="J48" s="2" t="s">
        <v>24</v>
      </c>
      <c r="K48" s="2" t="s">
        <v>50</v>
      </c>
      <c r="L48" s="2" t="s">
        <v>486</v>
      </c>
      <c r="M48" s="2" t="s">
        <v>27</v>
      </c>
      <c r="N48" s="2" t="s">
        <v>41</v>
      </c>
      <c r="O48" s="2" t="s">
        <v>29</v>
      </c>
      <c r="P48" s="2" t="s">
        <v>30</v>
      </c>
    </row>
    <row r="49" spans="1:16">
      <c r="A49" s="2" t="s">
        <v>487</v>
      </c>
      <c r="B49" s="2" t="s">
        <v>16</v>
      </c>
      <c r="C49" s="2" t="s">
        <v>174</v>
      </c>
      <c r="D49" s="2" t="s">
        <v>175</v>
      </c>
      <c r="E49" s="2" t="s">
        <v>240</v>
      </c>
      <c r="F49" s="2" t="s">
        <v>201</v>
      </c>
      <c r="G49" s="2" t="s">
        <v>488</v>
      </c>
      <c r="H49" s="2" t="s">
        <v>22</v>
      </c>
      <c r="I49" s="2" t="s">
        <v>131</v>
      </c>
      <c r="J49" s="2" t="s">
        <v>24</v>
      </c>
      <c r="K49" s="2" t="s">
        <v>39</v>
      </c>
      <c r="L49" s="2" t="s">
        <v>489</v>
      </c>
      <c r="M49" s="2" t="s">
        <v>62</v>
      </c>
      <c r="N49" s="2"/>
      <c r="O49" s="2"/>
      <c r="P49" s="2"/>
    </row>
    <row r="50" spans="1:16">
      <c r="A50" s="2" t="s">
        <v>490</v>
      </c>
      <c r="B50" s="2" t="s">
        <v>16</v>
      </c>
      <c r="C50" s="2" t="s">
        <v>241</v>
      </c>
      <c r="D50" s="2" t="s">
        <v>242</v>
      </c>
      <c r="E50" s="2" t="s">
        <v>243</v>
      </c>
      <c r="F50" s="2" t="s">
        <v>107</v>
      </c>
      <c r="G50" s="2" t="s">
        <v>491</v>
      </c>
      <c r="H50" s="2" t="s">
        <v>343</v>
      </c>
      <c r="I50" s="2" t="s">
        <v>108</v>
      </c>
      <c r="J50" s="2" t="s">
        <v>24</v>
      </c>
      <c r="K50" s="2" t="s">
        <v>47</v>
      </c>
      <c r="L50" s="2" t="s">
        <v>492</v>
      </c>
      <c r="M50" s="2" t="s">
        <v>27</v>
      </c>
      <c r="N50" s="2" t="s">
        <v>28</v>
      </c>
      <c r="O50" s="2" t="s">
        <v>67</v>
      </c>
      <c r="P50" s="2" t="s">
        <v>68</v>
      </c>
    </row>
    <row r="51" spans="1:16">
      <c r="A51" s="2" t="s">
        <v>493</v>
      </c>
      <c r="B51" s="2" t="s">
        <v>16</v>
      </c>
      <c r="C51" s="2" t="s">
        <v>180</v>
      </c>
      <c r="D51" s="2" t="s">
        <v>181</v>
      </c>
      <c r="E51" s="2" t="s">
        <v>244</v>
      </c>
      <c r="F51" s="2" t="s">
        <v>112</v>
      </c>
      <c r="G51" s="2" t="s">
        <v>494</v>
      </c>
      <c r="H51" s="2" t="s">
        <v>59</v>
      </c>
      <c r="I51" s="2" t="s">
        <v>94</v>
      </c>
      <c r="J51" s="2" t="s">
        <v>24</v>
      </c>
      <c r="K51" s="2" t="s">
        <v>90</v>
      </c>
      <c r="L51" s="2" t="s">
        <v>495</v>
      </c>
      <c r="M51" s="2" t="s">
        <v>27</v>
      </c>
      <c r="N51" s="2" t="s">
        <v>41</v>
      </c>
      <c r="O51" s="2" t="s">
        <v>42</v>
      </c>
      <c r="P51" s="2" t="s">
        <v>43</v>
      </c>
    </row>
    <row r="52" spans="1:16">
      <c r="A52" s="2" t="s">
        <v>496</v>
      </c>
      <c r="B52" s="2" t="s">
        <v>16</v>
      </c>
      <c r="C52" s="2" t="s">
        <v>185</v>
      </c>
      <c r="D52" s="2" t="s">
        <v>186</v>
      </c>
      <c r="E52" s="2" t="s">
        <v>245</v>
      </c>
      <c r="F52" s="2" t="s">
        <v>116</v>
      </c>
      <c r="G52" s="2" t="s">
        <v>497</v>
      </c>
      <c r="H52" s="2" t="s">
        <v>350</v>
      </c>
      <c r="I52" s="2" t="s">
        <v>117</v>
      </c>
      <c r="J52" s="2" t="s">
        <v>24</v>
      </c>
      <c r="K52" s="2" t="s">
        <v>25</v>
      </c>
      <c r="L52" s="2" t="s">
        <v>498</v>
      </c>
      <c r="M52" s="2" t="s">
        <v>62</v>
      </c>
      <c r="N52" s="2"/>
      <c r="O52" s="2"/>
      <c r="P52" s="2"/>
    </row>
    <row r="53" spans="1:16">
      <c r="A53" s="2" t="s">
        <v>499</v>
      </c>
      <c r="B53" s="2" t="s">
        <v>31</v>
      </c>
      <c r="C53" s="2" t="s">
        <v>189</v>
      </c>
      <c r="D53" s="2" t="s">
        <v>190</v>
      </c>
      <c r="E53" s="2" t="s">
        <v>246</v>
      </c>
      <c r="F53" s="2" t="s">
        <v>121</v>
      </c>
      <c r="G53" s="2" t="s">
        <v>500</v>
      </c>
      <c r="H53" s="2" t="s">
        <v>354</v>
      </c>
      <c r="I53" s="2" t="s">
        <v>122</v>
      </c>
      <c r="J53" s="2" t="s">
        <v>24</v>
      </c>
      <c r="K53" s="2" t="s">
        <v>50</v>
      </c>
      <c r="L53" s="2" t="s">
        <v>501</v>
      </c>
      <c r="M53" s="2" t="s">
        <v>27</v>
      </c>
      <c r="N53" s="2" t="s">
        <v>28</v>
      </c>
      <c r="O53" s="2" t="s">
        <v>73</v>
      </c>
      <c r="P53" s="2" t="s">
        <v>74</v>
      </c>
    </row>
    <row r="54" spans="1:16">
      <c r="A54" s="2" t="s">
        <v>502</v>
      </c>
      <c r="B54" s="2" t="s">
        <v>16</v>
      </c>
      <c r="C54" s="2" t="s">
        <v>194</v>
      </c>
      <c r="D54" s="2" t="s">
        <v>195</v>
      </c>
      <c r="E54" s="2" t="s">
        <v>247</v>
      </c>
      <c r="F54" s="2" t="s">
        <v>159</v>
      </c>
      <c r="G54" s="2" t="s">
        <v>503</v>
      </c>
      <c r="H54" s="2" t="s">
        <v>432</v>
      </c>
      <c r="I54" s="2" t="s">
        <v>215</v>
      </c>
      <c r="J54" s="2" t="s">
        <v>24</v>
      </c>
      <c r="K54" s="2" t="s">
        <v>39</v>
      </c>
      <c r="L54" s="2" t="s">
        <v>504</v>
      </c>
      <c r="M54" s="2" t="s">
        <v>27</v>
      </c>
      <c r="N54" s="2" t="s">
        <v>41</v>
      </c>
      <c r="O54" s="2" t="s">
        <v>67</v>
      </c>
      <c r="P54" s="2" t="s">
        <v>68</v>
      </c>
    </row>
    <row r="55" spans="1:16">
      <c r="A55" s="2" t="s">
        <v>505</v>
      </c>
      <c r="B55" s="2" t="s">
        <v>16</v>
      </c>
      <c r="C55" s="2" t="s">
        <v>198</v>
      </c>
      <c r="D55" s="2" t="s">
        <v>199</v>
      </c>
      <c r="E55" s="2" t="s">
        <v>248</v>
      </c>
      <c r="F55" s="2" t="s">
        <v>128</v>
      </c>
      <c r="G55" s="2" t="s">
        <v>506</v>
      </c>
      <c r="H55" s="2" t="s">
        <v>360</v>
      </c>
      <c r="I55" s="2" t="s">
        <v>129</v>
      </c>
      <c r="J55" s="2" t="s">
        <v>24</v>
      </c>
      <c r="K55" s="2" t="s">
        <v>47</v>
      </c>
      <c r="L55" s="2" t="s">
        <v>507</v>
      </c>
      <c r="M55" s="2" t="s">
        <v>62</v>
      </c>
      <c r="N55" s="2"/>
      <c r="O55" s="2"/>
      <c r="P55" s="2"/>
    </row>
    <row r="56" spans="1:16">
      <c r="A56" s="2" t="s">
        <v>508</v>
      </c>
      <c r="B56" s="2" t="s">
        <v>16</v>
      </c>
      <c r="C56" s="2" t="s">
        <v>202</v>
      </c>
      <c r="D56" s="2" t="s">
        <v>203</v>
      </c>
      <c r="E56" s="2" t="s">
        <v>249</v>
      </c>
      <c r="F56" s="2" t="s">
        <v>250</v>
      </c>
      <c r="G56" s="2" t="s">
        <v>509</v>
      </c>
      <c r="H56" s="2" t="s">
        <v>510</v>
      </c>
      <c r="I56" s="2" t="s">
        <v>251</v>
      </c>
      <c r="J56" s="2" t="s">
        <v>24</v>
      </c>
      <c r="K56" s="2" t="s">
        <v>90</v>
      </c>
      <c r="L56" s="2" t="s">
        <v>511</v>
      </c>
      <c r="M56" s="2" t="s">
        <v>27</v>
      </c>
      <c r="N56" s="2" t="s">
        <v>28</v>
      </c>
      <c r="O56" s="2" t="s">
        <v>29</v>
      </c>
      <c r="P56" s="2" t="s">
        <v>30</v>
      </c>
    </row>
    <row r="57" spans="1:16">
      <c r="A57" s="2" t="s">
        <v>512</v>
      </c>
      <c r="B57" s="2" t="s">
        <v>16</v>
      </c>
      <c r="C57" s="2" t="s">
        <v>54</v>
      </c>
      <c r="D57" s="2" t="s">
        <v>205</v>
      </c>
      <c r="E57" s="2" t="s">
        <v>252</v>
      </c>
      <c r="F57" s="2" t="s">
        <v>135</v>
      </c>
      <c r="G57" s="2" t="s">
        <v>513</v>
      </c>
      <c r="H57" s="2" t="s">
        <v>364</v>
      </c>
      <c r="I57" s="2" t="s">
        <v>136</v>
      </c>
      <c r="J57" s="2" t="s">
        <v>24</v>
      </c>
      <c r="K57" s="2" t="s">
        <v>25</v>
      </c>
      <c r="L57" s="2" t="s">
        <v>514</v>
      </c>
      <c r="M57" s="2" t="s">
        <v>27</v>
      </c>
      <c r="N57" s="2" t="s">
        <v>41</v>
      </c>
      <c r="O57" s="2" t="s">
        <v>73</v>
      </c>
      <c r="P57" s="2" t="s">
        <v>74</v>
      </c>
    </row>
    <row r="58" spans="1:16">
      <c r="A58" s="2" t="s">
        <v>515</v>
      </c>
      <c r="B58" s="2" t="s">
        <v>16</v>
      </c>
      <c r="C58" s="2" t="s">
        <v>207</v>
      </c>
      <c r="D58" s="2" t="s">
        <v>208</v>
      </c>
      <c r="E58" s="2" t="s">
        <v>253</v>
      </c>
      <c r="F58" s="2" t="s">
        <v>140</v>
      </c>
      <c r="G58" s="2" t="s">
        <v>516</v>
      </c>
      <c r="H58" s="2" t="s">
        <v>368</v>
      </c>
      <c r="I58" s="2" t="s">
        <v>141</v>
      </c>
      <c r="J58" s="2" t="s">
        <v>24</v>
      </c>
      <c r="K58" s="2" t="s">
        <v>50</v>
      </c>
      <c r="L58" s="2" t="s">
        <v>517</v>
      </c>
      <c r="M58" s="2" t="s">
        <v>62</v>
      </c>
      <c r="N58" s="2"/>
      <c r="O58" s="2"/>
      <c r="P58" s="2"/>
    </row>
    <row r="59" spans="1:16">
      <c r="A59" s="2" t="s">
        <v>518</v>
      </c>
      <c r="B59" s="2" t="s">
        <v>16</v>
      </c>
      <c r="C59" s="2" t="s">
        <v>254</v>
      </c>
      <c r="D59" s="2" t="s">
        <v>255</v>
      </c>
      <c r="E59" s="2" t="s">
        <v>256</v>
      </c>
      <c r="F59" s="2" t="s">
        <v>130</v>
      </c>
      <c r="G59" s="2" t="s">
        <v>519</v>
      </c>
      <c r="H59" s="2" t="s">
        <v>372</v>
      </c>
      <c r="I59" s="2" t="s">
        <v>145</v>
      </c>
      <c r="J59" s="2" t="s">
        <v>24</v>
      </c>
      <c r="K59" s="2" t="s">
        <v>39</v>
      </c>
      <c r="L59" s="2" t="s">
        <v>520</v>
      </c>
      <c r="M59" s="2" t="s">
        <v>27</v>
      </c>
      <c r="N59" s="2" t="s">
        <v>28</v>
      </c>
      <c r="O59" s="2" t="s">
        <v>42</v>
      </c>
      <c r="P59" s="2" t="s">
        <v>43</v>
      </c>
    </row>
    <row r="60" spans="1:16">
      <c r="A60" s="2" t="s">
        <v>521</v>
      </c>
      <c r="B60" s="2" t="s">
        <v>16</v>
      </c>
      <c r="C60" s="2" t="s">
        <v>212</v>
      </c>
      <c r="D60" s="2" t="s">
        <v>213</v>
      </c>
      <c r="E60" s="2" t="s">
        <v>257</v>
      </c>
      <c r="F60" s="2" t="s">
        <v>149</v>
      </c>
      <c r="G60" s="2" t="s">
        <v>522</v>
      </c>
      <c r="H60" s="2" t="s">
        <v>376</v>
      </c>
      <c r="I60" s="2" t="s">
        <v>150</v>
      </c>
      <c r="J60" s="2" t="s">
        <v>24</v>
      </c>
      <c r="K60" s="2" t="s">
        <v>47</v>
      </c>
      <c r="L60" s="2" t="s">
        <v>523</v>
      </c>
      <c r="M60" s="2" t="s">
        <v>27</v>
      </c>
      <c r="N60" s="2" t="s">
        <v>41</v>
      </c>
      <c r="O60" s="2" t="s">
        <v>29</v>
      </c>
      <c r="P60" s="2" t="s">
        <v>30</v>
      </c>
    </row>
    <row r="61" spans="1:16">
      <c r="A61" s="2" t="s">
        <v>524</v>
      </c>
      <c r="B61" s="2" t="s">
        <v>16</v>
      </c>
      <c r="C61" s="2" t="s">
        <v>17</v>
      </c>
      <c r="D61" s="2" t="s">
        <v>92</v>
      </c>
      <c r="E61" s="2" t="s">
        <v>258</v>
      </c>
      <c r="F61" s="2" t="s">
        <v>154</v>
      </c>
      <c r="G61" s="2" t="s">
        <v>525</v>
      </c>
      <c r="H61" s="2" t="s">
        <v>379</v>
      </c>
      <c r="I61" s="2" t="s">
        <v>155</v>
      </c>
      <c r="J61" s="2" t="s">
        <v>24</v>
      </c>
      <c r="K61" s="2" t="s">
        <v>90</v>
      </c>
      <c r="L61" s="2" t="s">
        <v>526</v>
      </c>
      <c r="M61" s="2" t="s">
        <v>62</v>
      </c>
      <c r="N61" s="2"/>
      <c r="O61" s="2"/>
      <c r="P61" s="2"/>
    </row>
    <row r="62" spans="1:16">
      <c r="A62" s="2" t="s">
        <v>527</v>
      </c>
      <c r="B62" s="2" t="s">
        <v>16</v>
      </c>
      <c r="C62" s="2" t="s">
        <v>83</v>
      </c>
      <c r="D62" s="2" t="s">
        <v>105</v>
      </c>
      <c r="E62" s="2" t="s">
        <v>259</v>
      </c>
      <c r="F62" s="2" t="s">
        <v>158</v>
      </c>
      <c r="G62" s="2" t="s">
        <v>528</v>
      </c>
      <c r="H62" s="2" t="s">
        <v>37</v>
      </c>
      <c r="I62" s="2" t="s">
        <v>93</v>
      </c>
      <c r="J62" s="2" t="s">
        <v>24</v>
      </c>
      <c r="K62" s="2" t="s">
        <v>25</v>
      </c>
      <c r="L62" s="2" t="s">
        <v>529</v>
      </c>
      <c r="M62" s="2" t="s">
        <v>27</v>
      </c>
      <c r="N62" s="2" t="s">
        <v>28</v>
      </c>
      <c r="O62" s="2" t="s">
        <v>67</v>
      </c>
      <c r="P62" s="2" t="s">
        <v>68</v>
      </c>
    </row>
    <row r="63" spans="1:16">
      <c r="A63" s="2" t="s">
        <v>530</v>
      </c>
      <c r="B63" s="2" t="s">
        <v>16</v>
      </c>
      <c r="C63" s="2" t="s">
        <v>109</v>
      </c>
      <c r="D63" s="2" t="s">
        <v>110</v>
      </c>
      <c r="E63" s="2" t="s">
        <v>260</v>
      </c>
      <c r="F63" s="2" t="s">
        <v>226</v>
      </c>
      <c r="G63" s="2" t="s">
        <v>531</v>
      </c>
      <c r="H63" s="2" t="s">
        <v>457</v>
      </c>
      <c r="I63" s="2" t="s">
        <v>227</v>
      </c>
      <c r="J63" s="2" t="s">
        <v>24</v>
      </c>
      <c r="K63" s="2" t="s">
        <v>50</v>
      </c>
      <c r="L63" s="2" t="s">
        <v>532</v>
      </c>
      <c r="M63" s="2" t="s">
        <v>27</v>
      </c>
      <c r="N63" s="2" t="s">
        <v>41</v>
      </c>
      <c r="O63" s="2" t="s">
        <v>42</v>
      </c>
      <c r="P63" s="2" t="s">
        <v>43</v>
      </c>
    </row>
    <row r="64" spans="1:16">
      <c r="A64" s="2" t="s">
        <v>533</v>
      </c>
      <c r="B64" s="2" t="s">
        <v>16</v>
      </c>
      <c r="C64" s="2" t="s">
        <v>83</v>
      </c>
      <c r="D64" s="2" t="s">
        <v>84</v>
      </c>
      <c r="E64" s="2" t="s">
        <v>85</v>
      </c>
      <c r="F64" s="2" t="s">
        <v>261</v>
      </c>
      <c r="G64" s="2" t="s">
        <v>124</v>
      </c>
      <c r="H64" s="2" t="s">
        <v>88</v>
      </c>
      <c r="I64" s="2" t="s">
        <v>89</v>
      </c>
      <c r="J64" s="2" t="s">
        <v>24</v>
      </c>
      <c r="K64" s="2" t="s">
        <v>47</v>
      </c>
      <c r="L64" s="2" t="s">
        <v>534</v>
      </c>
      <c r="M64" s="2" t="s">
        <v>62</v>
      </c>
      <c r="N64" s="2"/>
      <c r="O64" s="2"/>
      <c r="P64" s="2"/>
    </row>
    <row r="65" spans="1:16">
      <c r="A65" s="2" t="s">
        <v>535</v>
      </c>
      <c r="B65" s="2" t="s">
        <v>16</v>
      </c>
      <c r="C65" s="2" t="s">
        <v>118</v>
      </c>
      <c r="D65" s="2" t="s">
        <v>119</v>
      </c>
      <c r="E65" s="2" t="s">
        <v>262</v>
      </c>
      <c r="F65" s="2" t="s">
        <v>168</v>
      </c>
      <c r="G65" s="2" t="s">
        <v>536</v>
      </c>
      <c r="H65" s="2" t="s">
        <v>391</v>
      </c>
      <c r="I65" s="2" t="s">
        <v>169</v>
      </c>
      <c r="J65" s="2" t="s">
        <v>24</v>
      </c>
      <c r="K65" s="2" t="s">
        <v>47</v>
      </c>
      <c r="L65" s="2" t="s">
        <v>537</v>
      </c>
      <c r="M65" s="2" t="s">
        <v>27</v>
      </c>
      <c r="N65" s="2" t="s">
        <v>28</v>
      </c>
      <c r="O65" s="2" t="s">
        <v>73</v>
      </c>
      <c r="P65" s="2" t="s">
        <v>74</v>
      </c>
    </row>
    <row r="66" spans="1:16">
      <c r="A66" s="2" t="s">
        <v>538</v>
      </c>
      <c r="B66" s="2" t="s">
        <v>31</v>
      </c>
      <c r="C66" s="2" t="s">
        <v>220</v>
      </c>
      <c r="D66" s="2" t="s">
        <v>221</v>
      </c>
      <c r="E66" s="2" t="s">
        <v>263</v>
      </c>
      <c r="F66" s="2" t="s">
        <v>172</v>
      </c>
      <c r="G66" s="2" t="s">
        <v>539</v>
      </c>
      <c r="H66" s="2" t="s">
        <v>395</v>
      </c>
      <c r="I66" s="2" t="s">
        <v>173</v>
      </c>
      <c r="J66" s="2" t="s">
        <v>24</v>
      </c>
      <c r="K66" s="2" t="s">
        <v>90</v>
      </c>
      <c r="L66" s="2" t="s">
        <v>540</v>
      </c>
      <c r="M66" s="2" t="s">
        <v>27</v>
      </c>
      <c r="N66" s="2" t="s">
        <v>41</v>
      </c>
      <c r="O66" s="2" t="s">
        <v>67</v>
      </c>
      <c r="P66" s="2" t="s">
        <v>68</v>
      </c>
    </row>
    <row r="67" spans="1:16">
      <c r="A67" s="2" t="s">
        <v>541</v>
      </c>
      <c r="B67" s="2" t="s">
        <v>16</v>
      </c>
      <c r="C67" s="2" t="s">
        <v>125</v>
      </c>
      <c r="D67" s="2" t="s">
        <v>126</v>
      </c>
      <c r="E67" s="2" t="s">
        <v>264</v>
      </c>
      <c r="F67" s="2" t="s">
        <v>177</v>
      </c>
      <c r="G67" s="2" t="s">
        <v>542</v>
      </c>
      <c r="H67" s="2" t="s">
        <v>398</v>
      </c>
      <c r="I67" s="2" t="s">
        <v>178</v>
      </c>
      <c r="J67" s="2" t="s">
        <v>24</v>
      </c>
      <c r="K67" s="2" t="s">
        <v>25</v>
      </c>
      <c r="L67" s="2" t="s">
        <v>543</v>
      </c>
      <c r="M67" s="2" t="s">
        <v>62</v>
      </c>
      <c r="N67" s="2"/>
      <c r="O67" s="2"/>
      <c r="P67" s="2"/>
    </row>
    <row r="68" spans="1:16">
      <c r="A68" s="2" t="s">
        <v>544</v>
      </c>
      <c r="B68" s="2" t="s">
        <v>16</v>
      </c>
      <c r="C68" s="2" t="s">
        <v>265</v>
      </c>
      <c r="D68" s="2" t="s">
        <v>266</v>
      </c>
      <c r="E68" s="2" t="s">
        <v>267</v>
      </c>
      <c r="F68" s="2" t="s">
        <v>233</v>
      </c>
      <c r="G68" s="2" t="s">
        <v>545</v>
      </c>
      <c r="H68" s="2" t="s">
        <v>473</v>
      </c>
      <c r="I68" s="2" t="s">
        <v>234</v>
      </c>
      <c r="J68" s="2" t="s">
        <v>24</v>
      </c>
      <c r="K68" s="2" t="s">
        <v>50</v>
      </c>
      <c r="L68" s="2" t="s">
        <v>546</v>
      </c>
      <c r="M68" s="2" t="s">
        <v>27</v>
      </c>
      <c r="N68" s="2" t="s">
        <v>28</v>
      </c>
      <c r="O68" s="2" t="s">
        <v>29</v>
      </c>
      <c r="P68" s="2" t="s">
        <v>30</v>
      </c>
    </row>
    <row r="69" spans="1:16">
      <c r="A69" s="2" t="s">
        <v>547</v>
      </c>
      <c r="B69" s="2" t="s">
        <v>16</v>
      </c>
      <c r="C69" s="2" t="s">
        <v>132</v>
      </c>
      <c r="D69" s="2" t="s">
        <v>133</v>
      </c>
      <c r="E69" s="2" t="s">
        <v>268</v>
      </c>
      <c r="F69" s="2" t="s">
        <v>183</v>
      </c>
      <c r="G69" s="2" t="s">
        <v>548</v>
      </c>
      <c r="H69" s="2" t="s">
        <v>404</v>
      </c>
      <c r="I69" s="2" t="s">
        <v>184</v>
      </c>
      <c r="J69" s="2" t="s">
        <v>24</v>
      </c>
      <c r="K69" s="2" t="s">
        <v>39</v>
      </c>
      <c r="L69" s="2" t="s">
        <v>549</v>
      </c>
      <c r="M69" s="2" t="s">
        <v>27</v>
      </c>
      <c r="N69" s="2" t="s">
        <v>41</v>
      </c>
      <c r="O69" s="2" t="s">
        <v>73</v>
      </c>
      <c r="P69" s="2" t="s">
        <v>74</v>
      </c>
    </row>
    <row r="70" spans="1:16">
      <c r="A70" s="2" t="s">
        <v>550</v>
      </c>
      <c r="B70" s="2" t="s">
        <v>16</v>
      </c>
      <c r="C70" s="2" t="s">
        <v>137</v>
      </c>
      <c r="D70" s="2" t="s">
        <v>138</v>
      </c>
      <c r="E70" s="2" t="s">
        <v>269</v>
      </c>
      <c r="F70" s="2" t="s">
        <v>188</v>
      </c>
      <c r="G70" s="2" t="s">
        <v>551</v>
      </c>
      <c r="H70" s="2" t="s">
        <v>88</v>
      </c>
      <c r="I70" s="2" t="s">
        <v>89</v>
      </c>
      <c r="J70" s="2" t="s">
        <v>24</v>
      </c>
      <c r="K70" s="2" t="s">
        <v>47</v>
      </c>
      <c r="L70" s="2" t="s">
        <v>552</v>
      </c>
      <c r="M70" s="2" t="s">
        <v>62</v>
      </c>
      <c r="N70" s="2"/>
      <c r="O70" s="2"/>
      <c r="P70" s="2"/>
    </row>
    <row r="71" spans="1:16">
      <c r="A71" s="2" t="s">
        <v>553</v>
      </c>
      <c r="B71" s="2" t="s">
        <v>16</v>
      </c>
      <c r="C71" s="2" t="s">
        <v>142</v>
      </c>
      <c r="D71" s="2" t="s">
        <v>143</v>
      </c>
      <c r="E71" s="2" t="s">
        <v>270</v>
      </c>
      <c r="F71" s="2" t="s">
        <v>192</v>
      </c>
      <c r="G71" s="2" t="s">
        <v>554</v>
      </c>
      <c r="H71" s="2" t="s">
        <v>410</v>
      </c>
      <c r="I71" s="2" t="s">
        <v>193</v>
      </c>
      <c r="J71" s="2" t="s">
        <v>24</v>
      </c>
      <c r="K71" s="2" t="s">
        <v>90</v>
      </c>
      <c r="L71" s="2" t="s">
        <v>555</v>
      </c>
      <c r="M71" s="2" t="s">
        <v>27</v>
      </c>
      <c r="N71" s="2" t="s">
        <v>28</v>
      </c>
      <c r="O71" s="2" t="s">
        <v>42</v>
      </c>
      <c r="P71" s="2" t="s">
        <v>43</v>
      </c>
    </row>
    <row r="72" spans="1:16">
      <c r="A72" s="2" t="s">
        <v>556</v>
      </c>
      <c r="B72" s="2" t="s">
        <v>16</v>
      </c>
      <c r="C72" s="2" t="s">
        <v>146</v>
      </c>
      <c r="D72" s="2" t="s">
        <v>147</v>
      </c>
      <c r="E72" s="2" t="s">
        <v>271</v>
      </c>
      <c r="F72" s="2" t="s">
        <v>123</v>
      </c>
      <c r="G72" s="2" t="s">
        <v>557</v>
      </c>
      <c r="H72" s="2" t="s">
        <v>414</v>
      </c>
      <c r="I72" s="2" t="s">
        <v>197</v>
      </c>
      <c r="J72" s="2" t="s">
        <v>24</v>
      </c>
      <c r="K72" s="2" t="s">
        <v>25</v>
      </c>
      <c r="L72" s="2" t="s">
        <v>558</v>
      </c>
      <c r="M72" s="2" t="s">
        <v>27</v>
      </c>
      <c r="N72" s="2" t="s">
        <v>41</v>
      </c>
      <c r="O72" s="2" t="s">
        <v>29</v>
      </c>
      <c r="P72" s="2" t="s">
        <v>30</v>
      </c>
    </row>
    <row r="73" spans="1:16">
      <c r="A73" s="2" t="s">
        <v>559</v>
      </c>
      <c r="B73" s="2" t="s">
        <v>16</v>
      </c>
      <c r="C73" s="2" t="s">
        <v>151</v>
      </c>
      <c r="D73" s="2" t="s">
        <v>152</v>
      </c>
      <c r="E73" s="2" t="s">
        <v>272</v>
      </c>
      <c r="F73" s="2" t="s">
        <v>201</v>
      </c>
      <c r="G73" s="2" t="s">
        <v>560</v>
      </c>
      <c r="H73" s="2" t="s">
        <v>22</v>
      </c>
      <c r="I73" s="2" t="s">
        <v>131</v>
      </c>
      <c r="J73" s="2" t="s">
        <v>24</v>
      </c>
      <c r="K73" s="2" t="s">
        <v>50</v>
      </c>
      <c r="L73" s="2" t="s">
        <v>561</v>
      </c>
      <c r="M73" s="2" t="s">
        <v>62</v>
      </c>
      <c r="N73" s="2"/>
      <c r="O73" s="2"/>
      <c r="P73" s="2"/>
    </row>
    <row r="74" spans="1:16">
      <c r="A74" s="2" t="s">
        <v>562</v>
      </c>
      <c r="B74" s="2" t="s">
        <v>16</v>
      </c>
      <c r="C74" s="2" t="s">
        <v>32</v>
      </c>
      <c r="D74" s="2" t="s">
        <v>156</v>
      </c>
      <c r="E74" s="2" t="s">
        <v>273</v>
      </c>
      <c r="F74" s="2" t="s">
        <v>107</v>
      </c>
      <c r="G74" s="2" t="s">
        <v>563</v>
      </c>
      <c r="H74" s="2" t="s">
        <v>343</v>
      </c>
      <c r="I74" s="2" t="s">
        <v>108</v>
      </c>
      <c r="J74" s="2" t="s">
        <v>24</v>
      </c>
      <c r="K74" s="2" t="s">
        <v>39</v>
      </c>
      <c r="L74" s="2" t="s">
        <v>564</v>
      </c>
      <c r="M74" s="2" t="s">
        <v>27</v>
      </c>
      <c r="N74" s="2" t="s">
        <v>28</v>
      </c>
      <c r="O74" s="2" t="s">
        <v>67</v>
      </c>
      <c r="P74" s="2" t="s">
        <v>68</v>
      </c>
    </row>
    <row r="75" spans="1:16">
      <c r="A75" s="2" t="s">
        <v>565</v>
      </c>
      <c r="B75" s="2" t="s">
        <v>16</v>
      </c>
      <c r="C75" s="2" t="s">
        <v>75</v>
      </c>
      <c r="D75" s="2" t="s">
        <v>235</v>
      </c>
      <c r="E75" s="2" t="s">
        <v>274</v>
      </c>
      <c r="F75" s="2" t="s">
        <v>112</v>
      </c>
      <c r="G75" s="2" t="s">
        <v>566</v>
      </c>
      <c r="H75" s="2" t="s">
        <v>59</v>
      </c>
      <c r="I75" s="2" t="s">
        <v>94</v>
      </c>
      <c r="J75" s="2" t="s">
        <v>24</v>
      </c>
      <c r="K75" s="2" t="s">
        <v>47</v>
      </c>
      <c r="L75" s="2" t="s">
        <v>567</v>
      </c>
      <c r="M75" s="2" t="s">
        <v>27</v>
      </c>
      <c r="N75" s="2" t="s">
        <v>41</v>
      </c>
      <c r="O75" s="2" t="s">
        <v>42</v>
      </c>
      <c r="P75" s="2" t="s">
        <v>43</v>
      </c>
    </row>
    <row r="76" spans="1:16">
      <c r="A76" s="2" t="s">
        <v>568</v>
      </c>
      <c r="B76" s="2" t="s">
        <v>16</v>
      </c>
      <c r="C76" s="2" t="s">
        <v>160</v>
      </c>
      <c r="D76" s="2" t="s">
        <v>161</v>
      </c>
      <c r="E76" s="2" t="s">
        <v>275</v>
      </c>
      <c r="F76" s="2" t="s">
        <v>116</v>
      </c>
      <c r="G76" s="2" t="s">
        <v>569</v>
      </c>
      <c r="H76" s="2" t="s">
        <v>350</v>
      </c>
      <c r="I76" s="2" t="s">
        <v>117</v>
      </c>
      <c r="J76" s="2" t="s">
        <v>24</v>
      </c>
      <c r="K76" s="2" t="s">
        <v>90</v>
      </c>
      <c r="L76" s="2" t="s">
        <v>570</v>
      </c>
      <c r="M76" s="2" t="s">
        <v>62</v>
      </c>
      <c r="N76" s="2"/>
      <c r="O76" s="2"/>
      <c r="P76" s="2"/>
    </row>
    <row r="77" spans="1:16">
      <c r="A77" s="2" t="s">
        <v>571</v>
      </c>
      <c r="B77" s="2" t="s">
        <v>16</v>
      </c>
      <c r="C77" s="2" t="s">
        <v>165</v>
      </c>
      <c r="D77" s="2" t="s">
        <v>166</v>
      </c>
      <c r="E77" s="2" t="s">
        <v>276</v>
      </c>
      <c r="F77" s="2" t="s">
        <v>121</v>
      </c>
      <c r="G77" s="2" t="s">
        <v>572</v>
      </c>
      <c r="H77" s="2" t="s">
        <v>354</v>
      </c>
      <c r="I77" s="2" t="s">
        <v>122</v>
      </c>
      <c r="J77" s="2" t="s">
        <v>24</v>
      </c>
      <c r="K77" s="2" t="s">
        <v>25</v>
      </c>
      <c r="L77" s="2" t="s">
        <v>573</v>
      </c>
      <c r="M77" s="2" t="s">
        <v>27</v>
      </c>
      <c r="N77" s="2" t="s">
        <v>28</v>
      </c>
      <c r="O77" s="2" t="s">
        <v>73</v>
      </c>
      <c r="P77" s="2" t="s">
        <v>74</v>
      </c>
    </row>
    <row r="78" spans="1:16">
      <c r="A78" s="2" t="s">
        <v>574</v>
      </c>
      <c r="B78" s="2" t="s">
        <v>16</v>
      </c>
      <c r="C78" s="2" t="s">
        <v>170</v>
      </c>
      <c r="D78" s="2" t="s">
        <v>84</v>
      </c>
      <c r="E78" s="2" t="s">
        <v>277</v>
      </c>
      <c r="F78" s="2" t="s">
        <v>159</v>
      </c>
      <c r="G78" s="2" t="s">
        <v>575</v>
      </c>
      <c r="H78" s="2" t="s">
        <v>432</v>
      </c>
      <c r="I78" s="2" t="s">
        <v>215</v>
      </c>
      <c r="J78" s="2" t="s">
        <v>24</v>
      </c>
      <c r="K78" s="2" t="s">
        <v>50</v>
      </c>
      <c r="L78" s="2" t="s">
        <v>576</v>
      </c>
      <c r="M78" s="2" t="s">
        <v>27</v>
      </c>
      <c r="N78" s="2" t="s">
        <v>41</v>
      </c>
      <c r="O78" s="2" t="s">
        <v>67</v>
      </c>
      <c r="P78" s="2" t="s">
        <v>68</v>
      </c>
    </row>
    <row r="79" spans="1:16">
      <c r="A79" s="2" t="s">
        <v>577</v>
      </c>
      <c r="B79" s="2" t="s">
        <v>31</v>
      </c>
      <c r="C79" s="2" t="s">
        <v>174</v>
      </c>
      <c r="D79" s="2" t="s">
        <v>175</v>
      </c>
      <c r="E79" s="2" t="s">
        <v>278</v>
      </c>
      <c r="F79" s="2" t="s">
        <v>128</v>
      </c>
      <c r="G79" s="2" t="s">
        <v>578</v>
      </c>
      <c r="H79" s="2" t="s">
        <v>360</v>
      </c>
      <c r="I79" s="2" t="s">
        <v>129</v>
      </c>
      <c r="J79" s="2" t="s">
        <v>24</v>
      </c>
      <c r="K79" s="2" t="s">
        <v>39</v>
      </c>
      <c r="L79" s="2" t="s">
        <v>579</v>
      </c>
      <c r="M79" s="2" t="s">
        <v>62</v>
      </c>
      <c r="N79" s="2"/>
      <c r="O79" s="2"/>
      <c r="P79" s="2"/>
    </row>
    <row r="80" spans="1:16">
      <c r="A80" s="2" t="s">
        <v>580</v>
      </c>
      <c r="B80" s="2" t="s">
        <v>16</v>
      </c>
      <c r="C80" s="2" t="s">
        <v>241</v>
      </c>
      <c r="D80" s="2" t="s">
        <v>242</v>
      </c>
      <c r="E80" s="2" t="s">
        <v>279</v>
      </c>
      <c r="F80" s="2" t="s">
        <v>250</v>
      </c>
      <c r="G80" s="2" t="s">
        <v>581</v>
      </c>
      <c r="H80" s="2" t="s">
        <v>510</v>
      </c>
      <c r="I80" s="2" t="s">
        <v>251</v>
      </c>
      <c r="J80" s="2" t="s">
        <v>24</v>
      </c>
      <c r="K80" s="2" t="s">
        <v>47</v>
      </c>
      <c r="L80" s="2" t="s">
        <v>582</v>
      </c>
      <c r="M80" s="2" t="s">
        <v>27</v>
      </c>
      <c r="N80" s="2" t="s">
        <v>28</v>
      </c>
      <c r="O80" s="2" t="s">
        <v>29</v>
      </c>
      <c r="P80" s="2" t="s">
        <v>30</v>
      </c>
    </row>
    <row r="81" spans="1:16">
      <c r="A81" s="2" t="s">
        <v>583</v>
      </c>
      <c r="B81" s="2" t="s">
        <v>16</v>
      </c>
      <c r="C81" s="2" t="s">
        <v>180</v>
      </c>
      <c r="D81" s="2" t="s">
        <v>181</v>
      </c>
      <c r="E81" s="2" t="s">
        <v>280</v>
      </c>
      <c r="F81" s="2" t="s">
        <v>135</v>
      </c>
      <c r="G81" s="2" t="s">
        <v>584</v>
      </c>
      <c r="H81" s="2" t="s">
        <v>364</v>
      </c>
      <c r="I81" s="2" t="s">
        <v>136</v>
      </c>
      <c r="J81" s="2" t="s">
        <v>24</v>
      </c>
      <c r="K81" s="2" t="s">
        <v>90</v>
      </c>
      <c r="L81" s="2" t="s">
        <v>585</v>
      </c>
      <c r="M81" s="2" t="s">
        <v>27</v>
      </c>
      <c r="N81" s="2" t="s">
        <v>41</v>
      </c>
      <c r="O81" s="2" t="s">
        <v>73</v>
      </c>
      <c r="P81" s="2" t="s">
        <v>74</v>
      </c>
    </row>
    <row r="82" spans="1:16">
      <c r="A82" s="2" t="s">
        <v>586</v>
      </c>
      <c r="B82" s="2" t="s">
        <v>16</v>
      </c>
      <c r="C82" s="2" t="s">
        <v>185</v>
      </c>
      <c r="D82" s="2" t="s">
        <v>186</v>
      </c>
      <c r="E82" s="2" t="s">
        <v>281</v>
      </c>
      <c r="F82" s="2" t="s">
        <v>140</v>
      </c>
      <c r="G82" s="2" t="s">
        <v>587</v>
      </c>
      <c r="H82" s="2" t="s">
        <v>368</v>
      </c>
      <c r="I82" s="2" t="s">
        <v>141</v>
      </c>
      <c r="J82" s="2" t="s">
        <v>24</v>
      </c>
      <c r="K82" s="2" t="s">
        <v>25</v>
      </c>
      <c r="L82" s="2" t="s">
        <v>72</v>
      </c>
      <c r="M82" s="2" t="s">
        <v>62</v>
      </c>
      <c r="N82" s="2"/>
      <c r="O82" s="2"/>
      <c r="P82" s="2"/>
    </row>
    <row r="83" spans="1:16">
      <c r="A83" s="2" t="s">
        <v>588</v>
      </c>
      <c r="B83" s="2" t="s">
        <v>16</v>
      </c>
      <c r="C83" s="2" t="s">
        <v>17</v>
      </c>
      <c r="D83" s="2" t="s">
        <v>92</v>
      </c>
      <c r="E83" s="2" t="s">
        <v>19</v>
      </c>
      <c r="F83" s="2" t="s">
        <v>49</v>
      </c>
      <c r="G83" s="2" t="s">
        <v>21</v>
      </c>
      <c r="H83" s="2" t="s">
        <v>22</v>
      </c>
      <c r="I83" s="2" t="s">
        <v>131</v>
      </c>
      <c r="J83" s="2" t="s">
        <v>24</v>
      </c>
      <c r="K83" s="2" t="s">
        <v>50</v>
      </c>
      <c r="L83" s="2" t="s">
        <v>51</v>
      </c>
      <c r="M83" s="2" t="s">
        <v>27</v>
      </c>
      <c r="N83" s="2" t="s">
        <v>28</v>
      </c>
      <c r="O83" s="2" t="s">
        <v>42</v>
      </c>
      <c r="P83" s="2" t="s">
        <v>43</v>
      </c>
    </row>
    <row r="84" spans="1:16">
      <c r="A84" s="2" t="s">
        <v>589</v>
      </c>
      <c r="B84" s="2" t="s">
        <v>16</v>
      </c>
      <c r="C84" s="2" t="s">
        <v>32</v>
      </c>
      <c r="D84" s="2" t="s">
        <v>147</v>
      </c>
      <c r="E84" s="2" t="s">
        <v>34</v>
      </c>
      <c r="F84" s="2" t="s">
        <v>52</v>
      </c>
      <c r="G84" s="2" t="s">
        <v>36</v>
      </c>
      <c r="H84" s="2" t="s">
        <v>37</v>
      </c>
      <c r="I84" s="2" t="s">
        <v>93</v>
      </c>
      <c r="J84" s="2" t="s">
        <v>24</v>
      </c>
      <c r="K84" s="2" t="s">
        <v>39</v>
      </c>
      <c r="L84" s="2" t="s">
        <v>53</v>
      </c>
      <c r="M84" s="2" t="s">
        <v>27</v>
      </c>
      <c r="N84" s="2" t="s">
        <v>41</v>
      </c>
      <c r="O84" s="2" t="s">
        <v>29</v>
      </c>
      <c r="P84" s="2" t="s">
        <v>30</v>
      </c>
    </row>
    <row r="85" spans="1:16">
      <c r="A85" s="2" t="s">
        <v>590</v>
      </c>
      <c r="B85" s="2" t="s">
        <v>16</v>
      </c>
      <c r="C85" s="2" t="s">
        <v>54</v>
      </c>
      <c r="D85" s="2" t="s">
        <v>190</v>
      </c>
      <c r="E85" s="2" t="s">
        <v>56</v>
      </c>
      <c r="F85" s="2" t="s">
        <v>128</v>
      </c>
      <c r="G85" s="2" t="s">
        <v>58</v>
      </c>
      <c r="H85" s="2" t="s">
        <v>59</v>
      </c>
      <c r="I85" s="2" t="s">
        <v>94</v>
      </c>
      <c r="J85" s="2" t="s">
        <v>24</v>
      </c>
      <c r="K85" s="2" t="s">
        <v>25</v>
      </c>
      <c r="L85" s="2" t="s">
        <v>61</v>
      </c>
      <c r="M85" s="2" t="s">
        <v>62</v>
      </c>
      <c r="N85" s="2"/>
      <c r="O85" s="2"/>
      <c r="P85" s="2"/>
    </row>
    <row r="86" spans="1:16">
      <c r="A86" s="2" t="s">
        <v>591</v>
      </c>
      <c r="B86" s="2" t="s">
        <v>16</v>
      </c>
      <c r="C86" s="2" t="s">
        <v>54</v>
      </c>
      <c r="D86" s="2" t="s">
        <v>190</v>
      </c>
      <c r="E86" s="2" t="s">
        <v>63</v>
      </c>
      <c r="F86" s="2" t="s">
        <v>64</v>
      </c>
      <c r="G86" s="2" t="s">
        <v>65</v>
      </c>
      <c r="H86" s="2" t="s">
        <v>59</v>
      </c>
      <c r="I86" s="2" t="s">
        <v>94</v>
      </c>
      <c r="J86" s="2" t="s">
        <v>24</v>
      </c>
      <c r="K86" s="2" t="s">
        <v>25</v>
      </c>
      <c r="L86" s="2" t="s">
        <v>66</v>
      </c>
      <c r="M86" s="2" t="s">
        <v>27</v>
      </c>
      <c r="N86" s="2" t="s">
        <v>28</v>
      </c>
      <c r="O86" s="2" t="s">
        <v>67</v>
      </c>
      <c r="P86" s="2" t="s">
        <v>68</v>
      </c>
    </row>
    <row r="87" spans="1:16">
      <c r="A87" s="2" t="s">
        <v>592</v>
      </c>
      <c r="B87" s="2" t="s">
        <v>31</v>
      </c>
      <c r="C87" s="2" t="s">
        <v>137</v>
      </c>
      <c r="D87" s="2" t="s">
        <v>114</v>
      </c>
      <c r="E87" s="2" t="s">
        <v>282</v>
      </c>
      <c r="F87" s="2" t="s">
        <v>107</v>
      </c>
      <c r="G87" s="2" t="s">
        <v>406</v>
      </c>
      <c r="H87" s="2" t="s">
        <v>387</v>
      </c>
      <c r="I87" s="2" t="s">
        <v>164</v>
      </c>
      <c r="J87" s="2" t="s">
        <v>24</v>
      </c>
      <c r="K87" s="2" t="s">
        <v>47</v>
      </c>
      <c r="L87" s="2" t="s">
        <v>593</v>
      </c>
      <c r="M87" s="2" t="s">
        <v>27</v>
      </c>
      <c r="N87" s="2" t="s">
        <v>41</v>
      </c>
      <c r="O87" s="2" t="s">
        <v>42</v>
      </c>
      <c r="P87" s="2" t="s">
        <v>43</v>
      </c>
    </row>
    <row r="88" spans="1:16">
      <c r="A88" s="2" t="s">
        <v>594</v>
      </c>
      <c r="B88" s="2" t="s">
        <v>16</v>
      </c>
      <c r="C88" s="2" t="s">
        <v>207</v>
      </c>
      <c r="D88" s="2" t="s">
        <v>208</v>
      </c>
      <c r="E88" s="2" t="s">
        <v>283</v>
      </c>
      <c r="F88" s="2" t="s">
        <v>163</v>
      </c>
      <c r="G88" s="2" t="s">
        <v>595</v>
      </c>
      <c r="H88" s="2" t="s">
        <v>387</v>
      </c>
      <c r="I88" s="2" t="s">
        <v>164</v>
      </c>
      <c r="J88" s="2" t="s">
        <v>24</v>
      </c>
      <c r="K88" s="2" t="s">
        <v>50</v>
      </c>
      <c r="L88" s="2" t="s">
        <v>585</v>
      </c>
      <c r="M88" s="2" t="s">
        <v>62</v>
      </c>
      <c r="N88" s="2"/>
      <c r="O88" s="2"/>
      <c r="P88" s="2"/>
    </row>
    <row r="89" spans="1:16">
      <c r="A89" s="2" t="s">
        <v>596</v>
      </c>
      <c r="B89" s="2" t="s">
        <v>16</v>
      </c>
      <c r="C89" s="2" t="s">
        <v>54</v>
      </c>
      <c r="D89" s="2" t="s">
        <v>190</v>
      </c>
      <c r="E89" s="2" t="s">
        <v>69</v>
      </c>
      <c r="F89" s="2" t="s">
        <v>70</v>
      </c>
      <c r="G89" s="2" t="s">
        <v>71</v>
      </c>
      <c r="H89" s="2" t="s">
        <v>59</v>
      </c>
      <c r="I89" s="2" t="s">
        <v>94</v>
      </c>
      <c r="J89" s="2" t="s">
        <v>24</v>
      </c>
      <c r="K89" s="2" t="s">
        <v>50</v>
      </c>
      <c r="L89" s="2" t="s">
        <v>72</v>
      </c>
      <c r="M89" s="2" t="s">
        <v>27</v>
      </c>
      <c r="N89" s="2" t="s">
        <v>28</v>
      </c>
      <c r="O89" s="2" t="s">
        <v>73</v>
      </c>
      <c r="P89" s="2" t="s">
        <v>74</v>
      </c>
    </row>
    <row r="90" spans="1:16">
      <c r="A90" s="2" t="s">
        <v>597</v>
      </c>
      <c r="B90" s="2" t="s">
        <v>16</v>
      </c>
      <c r="C90" s="2" t="s">
        <v>137</v>
      </c>
      <c r="D90" s="2" t="s">
        <v>114</v>
      </c>
      <c r="E90" s="2" t="s">
        <v>282</v>
      </c>
      <c r="F90" s="2" t="s">
        <v>284</v>
      </c>
      <c r="G90" s="2" t="s">
        <v>406</v>
      </c>
      <c r="H90" s="2" t="s">
        <v>387</v>
      </c>
      <c r="I90" s="2" t="s">
        <v>164</v>
      </c>
      <c r="J90" s="2" t="s">
        <v>24</v>
      </c>
      <c r="K90" s="2" t="s">
        <v>47</v>
      </c>
      <c r="L90" s="2" t="s">
        <v>51</v>
      </c>
      <c r="M90" s="2" t="s">
        <v>27</v>
      </c>
      <c r="N90" s="2" t="s">
        <v>41</v>
      </c>
      <c r="O90" s="2" t="s">
        <v>67</v>
      </c>
      <c r="P90" s="2" t="s">
        <v>68</v>
      </c>
    </row>
    <row r="91" spans="1:16">
      <c r="A91" s="2" t="s">
        <v>598</v>
      </c>
      <c r="B91" s="2" t="s">
        <v>16</v>
      </c>
      <c r="C91" s="2" t="s">
        <v>17</v>
      </c>
      <c r="D91" s="2" t="s">
        <v>92</v>
      </c>
      <c r="E91" s="2" t="s">
        <v>285</v>
      </c>
      <c r="F91" s="2" t="s">
        <v>177</v>
      </c>
      <c r="G91" s="2" t="s">
        <v>599</v>
      </c>
      <c r="H91" s="2" t="s">
        <v>398</v>
      </c>
      <c r="I91" s="2" t="s">
        <v>178</v>
      </c>
      <c r="J91" s="2" t="s">
        <v>24</v>
      </c>
      <c r="K91" s="2" t="s">
        <v>90</v>
      </c>
      <c r="L91" s="2" t="s">
        <v>53</v>
      </c>
      <c r="M91" s="2" t="s">
        <v>62</v>
      </c>
      <c r="N91" s="2"/>
      <c r="O91" s="2"/>
      <c r="P91" s="2"/>
    </row>
    <row r="92" spans="1:16">
      <c r="A92" s="2" t="s">
        <v>600</v>
      </c>
      <c r="B92" s="2" t="s">
        <v>31</v>
      </c>
      <c r="C92" s="2" t="s">
        <v>83</v>
      </c>
      <c r="D92" s="2" t="s">
        <v>105</v>
      </c>
      <c r="E92" s="2" t="s">
        <v>286</v>
      </c>
      <c r="F92" s="2" t="s">
        <v>233</v>
      </c>
      <c r="G92" s="2" t="s">
        <v>601</v>
      </c>
      <c r="H92" s="2" t="s">
        <v>473</v>
      </c>
      <c r="I92" s="2" t="s">
        <v>234</v>
      </c>
      <c r="J92" s="2" t="s">
        <v>24</v>
      </c>
      <c r="K92" s="2" t="s">
        <v>25</v>
      </c>
      <c r="L92" s="2" t="s">
        <v>61</v>
      </c>
      <c r="M92" s="2" t="s">
        <v>27</v>
      </c>
      <c r="N92" s="2" t="s">
        <v>28</v>
      </c>
      <c r="O92" s="2" t="s">
        <v>29</v>
      </c>
      <c r="P92" s="2" t="s">
        <v>30</v>
      </c>
    </row>
    <row r="93" spans="1:16">
      <c r="A93" s="2" t="s">
        <v>602</v>
      </c>
      <c r="B93" s="2" t="s">
        <v>16</v>
      </c>
      <c r="C93" s="2" t="s">
        <v>75</v>
      </c>
      <c r="D93" s="2" t="s">
        <v>255</v>
      </c>
      <c r="E93" s="2" t="s">
        <v>77</v>
      </c>
      <c r="F93" s="2" t="s">
        <v>287</v>
      </c>
      <c r="G93" s="2" t="s">
        <v>79</v>
      </c>
      <c r="H93" s="2" t="s">
        <v>80</v>
      </c>
      <c r="I93" s="2" t="s">
        <v>81</v>
      </c>
      <c r="J93" s="2" t="s">
        <v>82</v>
      </c>
      <c r="K93" s="2" t="s">
        <v>25</v>
      </c>
      <c r="L93" s="2" t="s">
        <v>66</v>
      </c>
      <c r="M93" s="2" t="s">
        <v>27</v>
      </c>
      <c r="N93" s="2" t="s">
        <v>41</v>
      </c>
      <c r="O93" s="2" t="s">
        <v>73</v>
      </c>
      <c r="P93" s="2" t="s">
        <v>74</v>
      </c>
    </row>
    <row r="94" spans="1:16">
      <c r="A94" s="2" t="s">
        <v>603</v>
      </c>
      <c r="B94" s="2" t="s">
        <v>16</v>
      </c>
      <c r="C94" s="2" t="s">
        <v>17</v>
      </c>
      <c r="D94" s="2" t="s">
        <v>92</v>
      </c>
      <c r="E94" s="2" t="s">
        <v>288</v>
      </c>
      <c r="F94" s="2" t="s">
        <v>177</v>
      </c>
      <c r="G94" s="2" t="s">
        <v>362</v>
      </c>
      <c r="H94" s="2" t="s">
        <v>37</v>
      </c>
      <c r="I94" s="2" t="s">
        <v>93</v>
      </c>
      <c r="J94" s="2" t="s">
        <v>24</v>
      </c>
      <c r="K94" s="2" t="s">
        <v>39</v>
      </c>
      <c r="L94" s="2" t="s">
        <v>593</v>
      </c>
      <c r="M94" s="2" t="s">
        <v>62</v>
      </c>
      <c r="N94" s="2"/>
      <c r="O94" s="2"/>
      <c r="P94" s="2"/>
    </row>
    <row r="95" spans="1:16">
      <c r="A95" s="2" t="s">
        <v>604</v>
      </c>
      <c r="B95" s="2" t="s">
        <v>16</v>
      </c>
      <c r="C95" s="2" t="s">
        <v>207</v>
      </c>
      <c r="D95" s="2" t="s">
        <v>138</v>
      </c>
      <c r="E95" s="2" t="s">
        <v>289</v>
      </c>
      <c r="F95" s="2" t="s">
        <v>290</v>
      </c>
      <c r="G95" s="2" t="s">
        <v>374</v>
      </c>
      <c r="H95" s="2" t="s">
        <v>605</v>
      </c>
      <c r="I95" s="2" t="s">
        <v>291</v>
      </c>
      <c r="J95" s="2" t="s">
        <v>292</v>
      </c>
      <c r="K95" s="2" t="s">
        <v>50</v>
      </c>
      <c r="L95" s="2" t="s">
        <v>585</v>
      </c>
      <c r="M95" s="2" t="s">
        <v>27</v>
      </c>
      <c r="N95" s="2" t="s">
        <v>28</v>
      </c>
      <c r="O95" s="2" t="s">
        <v>42</v>
      </c>
      <c r="P95" s="2" t="s">
        <v>43</v>
      </c>
    </row>
    <row r="96" spans="1:16">
      <c r="A96" s="2" t="s">
        <v>606</v>
      </c>
      <c r="B96" s="2" t="s">
        <v>16</v>
      </c>
      <c r="C96" s="2" t="s">
        <v>109</v>
      </c>
      <c r="D96" s="2" t="s">
        <v>175</v>
      </c>
      <c r="E96" s="2" t="s">
        <v>293</v>
      </c>
      <c r="F96" s="2" t="s">
        <v>158</v>
      </c>
      <c r="G96" s="2" t="s">
        <v>393</v>
      </c>
      <c r="H96" s="2" t="s">
        <v>510</v>
      </c>
      <c r="I96" s="2" t="s">
        <v>251</v>
      </c>
      <c r="J96" s="2" t="s">
        <v>24</v>
      </c>
      <c r="K96" s="2" t="s">
        <v>39</v>
      </c>
      <c r="L96" s="2" t="s">
        <v>72</v>
      </c>
      <c r="M96" s="2" t="s">
        <v>27</v>
      </c>
      <c r="N96" s="2" t="s">
        <v>41</v>
      </c>
      <c r="O96" s="2" t="s">
        <v>29</v>
      </c>
      <c r="P96" s="2" t="s">
        <v>30</v>
      </c>
    </row>
    <row r="97" spans="1:16">
      <c r="A97" s="2" t="s">
        <v>607</v>
      </c>
      <c r="B97" s="2" t="s">
        <v>16</v>
      </c>
      <c r="C97" s="2" t="s">
        <v>125</v>
      </c>
      <c r="D97" s="2" t="s">
        <v>161</v>
      </c>
      <c r="E97" s="2" t="s">
        <v>294</v>
      </c>
      <c r="F97" s="2" t="s">
        <v>295</v>
      </c>
      <c r="G97" s="2" t="s">
        <v>362</v>
      </c>
      <c r="H97" s="2" t="s">
        <v>608</v>
      </c>
      <c r="I97" s="2" t="s">
        <v>296</v>
      </c>
      <c r="J97" s="2" t="s">
        <v>297</v>
      </c>
      <c r="K97" s="2" t="s">
        <v>47</v>
      </c>
      <c r="L97" s="2" t="s">
        <v>51</v>
      </c>
      <c r="M97" s="2" t="s">
        <v>62</v>
      </c>
      <c r="N97" s="2"/>
      <c r="O97" s="2"/>
      <c r="P97" s="2"/>
    </row>
    <row r="98" spans="1:16">
      <c r="A98" s="2" t="s">
        <v>609</v>
      </c>
      <c r="B98" s="2" t="s">
        <v>16</v>
      </c>
      <c r="C98" s="2" t="s">
        <v>83</v>
      </c>
      <c r="D98" s="2" t="s">
        <v>84</v>
      </c>
      <c r="E98" s="2" t="s">
        <v>85</v>
      </c>
      <c r="F98" s="2" t="s">
        <v>123</v>
      </c>
      <c r="G98" s="2" t="s">
        <v>87</v>
      </c>
      <c r="H98" s="2" t="s">
        <v>88</v>
      </c>
      <c r="I98" s="2" t="s">
        <v>89</v>
      </c>
      <c r="J98" s="2" t="s">
        <v>24</v>
      </c>
      <c r="K98" s="2" t="s">
        <v>90</v>
      </c>
      <c r="L98" s="2" t="s">
        <v>53</v>
      </c>
      <c r="M98" s="2" t="s">
        <v>27</v>
      </c>
      <c r="N98" s="2" t="s">
        <v>28</v>
      </c>
      <c r="O98" s="2" t="s">
        <v>67</v>
      </c>
      <c r="P98" s="2" t="s">
        <v>68</v>
      </c>
    </row>
    <row r="99" spans="1:16">
      <c r="A99" s="2" t="s">
        <v>610</v>
      </c>
      <c r="B99" s="2" t="s">
        <v>16</v>
      </c>
      <c r="C99" s="2" t="s">
        <v>132</v>
      </c>
      <c r="D99" s="2" t="s">
        <v>133</v>
      </c>
      <c r="E99" s="2" t="s">
        <v>298</v>
      </c>
      <c r="F99" s="2" t="s">
        <v>112</v>
      </c>
      <c r="G99" s="2" t="s">
        <v>611</v>
      </c>
      <c r="H99" s="2" t="s">
        <v>59</v>
      </c>
      <c r="I99" s="2" t="s">
        <v>94</v>
      </c>
      <c r="J99" s="2" t="s">
        <v>24</v>
      </c>
      <c r="K99" s="2" t="s">
        <v>39</v>
      </c>
      <c r="L99" s="2" t="s">
        <v>61</v>
      </c>
      <c r="M99" s="2" t="s">
        <v>27</v>
      </c>
      <c r="N99" s="2" t="s">
        <v>41</v>
      </c>
      <c r="O99" s="2" t="s">
        <v>42</v>
      </c>
      <c r="P99" s="2" t="s">
        <v>43</v>
      </c>
    </row>
    <row r="100" spans="1:16">
      <c r="A100" s="2" t="s">
        <v>612</v>
      </c>
      <c r="B100" s="2" t="s">
        <v>16</v>
      </c>
      <c r="C100" s="2" t="s">
        <v>299</v>
      </c>
      <c r="D100" s="2" t="s">
        <v>210</v>
      </c>
      <c r="E100" s="2" t="s">
        <v>300</v>
      </c>
      <c r="F100" s="2" t="s">
        <v>177</v>
      </c>
      <c r="G100" s="2" t="s">
        <v>370</v>
      </c>
      <c r="H100" s="2" t="s">
        <v>360</v>
      </c>
      <c r="I100" s="2" t="s">
        <v>129</v>
      </c>
      <c r="J100" s="2" t="s">
        <v>24</v>
      </c>
      <c r="K100" s="2" t="s">
        <v>90</v>
      </c>
      <c r="L100" s="2" t="s">
        <v>66</v>
      </c>
      <c r="M100" s="2" t="s">
        <v>62</v>
      </c>
      <c r="N100" s="2"/>
      <c r="O100" s="2"/>
      <c r="P100" s="2"/>
    </row>
    <row r="101" spans="1:16">
      <c r="A101" s="2" t="s">
        <v>613</v>
      </c>
      <c r="B101" s="2" t="s">
        <v>16</v>
      </c>
      <c r="C101" s="2" t="s">
        <v>198</v>
      </c>
      <c r="D101" s="2" t="s">
        <v>186</v>
      </c>
      <c r="E101" s="2" t="s">
        <v>301</v>
      </c>
      <c r="F101" s="2" t="s">
        <v>121</v>
      </c>
      <c r="G101" s="2" t="s">
        <v>425</v>
      </c>
      <c r="H101" s="2" t="s">
        <v>404</v>
      </c>
      <c r="I101" s="2" t="s">
        <v>184</v>
      </c>
      <c r="J101" s="2" t="s">
        <v>24</v>
      </c>
      <c r="K101" s="2" t="s">
        <v>25</v>
      </c>
      <c r="L101" s="2" t="s">
        <v>593</v>
      </c>
      <c r="M101" s="2" t="s">
        <v>27</v>
      </c>
      <c r="N101" s="2" t="s">
        <v>28</v>
      </c>
      <c r="O101" s="2" t="s">
        <v>73</v>
      </c>
      <c r="P101" s="2" t="s">
        <v>74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C688-51FB-423F-8C16-D56405D8954E}">
  <sheetPr codeName="Tabelle8">
    <tabColor rgb="FFFFFFCC"/>
  </sheetPr>
  <dimension ref="A1:P16"/>
  <sheetViews>
    <sheetView workbookViewId="0">
      <selection sqref="A1:M2"/>
    </sheetView>
  </sheetViews>
  <sheetFormatPr baseColWidth="10" defaultColWidth="8.6640625" defaultRowHeight="14"/>
  <cols>
    <col min="1" max="2" width="6.4140625" bestFit="1" customWidth="1"/>
    <col min="3" max="3" width="8.25" bestFit="1" customWidth="1"/>
    <col min="4" max="4" width="9.1640625" customWidth="1"/>
    <col min="5" max="5" width="22.9140625" customWidth="1"/>
    <col min="6" max="6" width="12.83203125" customWidth="1"/>
    <col min="7" max="7" width="12.1640625" customWidth="1"/>
    <col min="8" max="8" width="10.1640625" customWidth="1"/>
    <col min="9" max="9" width="11.4140625" customWidth="1"/>
    <col min="10" max="10" width="6.83203125" bestFit="1" customWidth="1"/>
  </cols>
  <sheetData>
    <row r="1" spans="1:16" ht="14" customHeight="1">
      <c r="A1" s="126" t="s">
        <v>663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8"/>
    </row>
    <row r="2" spans="1:16" ht="14" customHeight="1">
      <c r="A2" s="129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1"/>
    </row>
    <row r="3" spans="1:16" ht="14" customHeight="1">
      <c r="A3" s="105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7"/>
    </row>
    <row r="4" spans="1:16">
      <c r="A4" s="96" t="s">
        <v>633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8"/>
    </row>
    <row r="5" spans="1:16" ht="14" customHeight="1">
      <c r="A5" s="90" t="s">
        <v>642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2"/>
    </row>
    <row r="6" spans="1:16" ht="14" customHeight="1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</row>
    <row r="7" spans="1:16">
      <c r="A7" s="90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2"/>
    </row>
    <row r="8" spans="1:16" ht="14.5" customHeight="1">
      <c r="A8" s="96" t="s">
        <v>91</v>
      </c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8"/>
    </row>
    <row r="9" spans="1:16" ht="14.5" customHeight="1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5"/>
    </row>
    <row r="10" spans="1:16" ht="14.5" customHeight="1">
      <c r="A10" s="112"/>
      <c r="B10" s="29" t="s">
        <v>0</v>
      </c>
      <c r="C10" s="30" t="s">
        <v>2</v>
      </c>
      <c r="D10" s="30" t="s">
        <v>3</v>
      </c>
      <c r="E10" s="30" t="s">
        <v>5</v>
      </c>
      <c r="F10" s="30" t="s">
        <v>6</v>
      </c>
      <c r="G10" s="30" t="s">
        <v>7</v>
      </c>
      <c r="H10" s="30" t="s">
        <v>8</v>
      </c>
      <c r="I10" s="31" t="s">
        <v>9</v>
      </c>
      <c r="J10" s="24"/>
      <c r="K10" s="24"/>
      <c r="L10" s="24"/>
      <c r="M10" s="25"/>
      <c r="P10" s="7"/>
    </row>
    <row r="11" spans="1:16" ht="14.5" customHeight="1">
      <c r="A11" s="112"/>
      <c r="B11" s="32">
        <v>7</v>
      </c>
      <c r="C11" s="33" t="s">
        <v>17</v>
      </c>
      <c r="D11" s="34" t="s">
        <v>92</v>
      </c>
      <c r="E11" s="34" t="s">
        <v>629</v>
      </c>
      <c r="F11" s="33" t="s">
        <v>21</v>
      </c>
      <c r="G11" s="33" t="s">
        <v>22</v>
      </c>
      <c r="H11" s="34" t="s">
        <v>94</v>
      </c>
      <c r="I11" s="35" t="s">
        <v>24</v>
      </c>
      <c r="J11" s="24"/>
      <c r="K11" s="24"/>
      <c r="L11" s="24"/>
      <c r="M11" s="25"/>
    </row>
    <row r="12" spans="1:16" ht="14.5" customHeight="1">
      <c r="A12" s="112"/>
      <c r="B12" s="32">
        <v>14</v>
      </c>
      <c r="C12" s="33" t="s">
        <v>32</v>
      </c>
      <c r="D12" s="33" t="s">
        <v>33</v>
      </c>
      <c r="E12" s="34" t="s">
        <v>630</v>
      </c>
      <c r="F12" s="33" t="s">
        <v>36</v>
      </c>
      <c r="G12" s="33" t="s">
        <v>37</v>
      </c>
      <c r="H12" s="34" t="s">
        <v>93</v>
      </c>
      <c r="I12" s="35" t="s">
        <v>24</v>
      </c>
      <c r="J12" s="24"/>
      <c r="K12" s="24"/>
      <c r="L12" s="24"/>
      <c r="M12" s="25"/>
    </row>
    <row r="13" spans="1:16" ht="14.5" customHeight="1">
      <c r="A13" s="112"/>
      <c r="B13" s="32">
        <v>31</v>
      </c>
      <c r="C13" s="33" t="s">
        <v>83</v>
      </c>
      <c r="D13" s="34" t="s">
        <v>190</v>
      </c>
      <c r="E13" s="33" t="s">
        <v>631</v>
      </c>
      <c r="F13" s="33" t="s">
        <v>46</v>
      </c>
      <c r="G13" s="33" t="s">
        <v>22</v>
      </c>
      <c r="H13" s="33" t="s">
        <v>89</v>
      </c>
      <c r="I13" s="35" t="s">
        <v>24</v>
      </c>
      <c r="J13" s="24"/>
      <c r="K13" s="24"/>
      <c r="L13" s="24"/>
      <c r="M13" s="25"/>
    </row>
    <row r="14" spans="1:16" ht="14.5" customHeight="1">
      <c r="A14" s="112"/>
      <c r="B14" s="32">
        <v>82</v>
      </c>
      <c r="C14" s="33" t="s">
        <v>17</v>
      </c>
      <c r="D14" s="33" t="s">
        <v>84</v>
      </c>
      <c r="E14" s="33" t="s">
        <v>49</v>
      </c>
      <c r="F14" s="33" t="s">
        <v>21</v>
      </c>
      <c r="G14" s="33" t="s">
        <v>22</v>
      </c>
      <c r="H14" s="34" t="s">
        <v>131</v>
      </c>
      <c r="I14" s="35" t="s">
        <v>24</v>
      </c>
      <c r="J14" s="24"/>
      <c r="K14" s="24"/>
      <c r="L14" s="24"/>
      <c r="M14" s="25"/>
    </row>
    <row r="15" spans="1:16" ht="14.5" customHeight="1">
      <c r="A15" s="112"/>
      <c r="B15" s="36">
        <v>83</v>
      </c>
      <c r="C15" s="37" t="s">
        <v>632</v>
      </c>
      <c r="D15" s="37" t="s">
        <v>175</v>
      </c>
      <c r="E15" s="37" t="s">
        <v>52</v>
      </c>
      <c r="F15" s="37" t="s">
        <v>36</v>
      </c>
      <c r="G15" s="37" t="s">
        <v>37</v>
      </c>
      <c r="H15" s="38" t="s">
        <v>93</v>
      </c>
      <c r="I15" s="39" t="s">
        <v>24</v>
      </c>
      <c r="J15" s="24"/>
      <c r="K15" s="24"/>
      <c r="L15" s="24"/>
      <c r="M15" s="25"/>
    </row>
    <row r="16" spans="1:16" ht="14.5" thickBot="1">
      <c r="A16" s="28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8"/>
      <c r="M16" s="27"/>
    </row>
  </sheetData>
  <mergeCells count="6">
    <mergeCell ref="A5:M7"/>
    <mergeCell ref="A10:A15"/>
    <mergeCell ref="A1:M2"/>
    <mergeCell ref="A3:M3"/>
    <mergeCell ref="A4:M4"/>
    <mergeCell ref="A8:M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9BE8E-54CD-492A-B84C-8FBCB0D74A4C}">
  <sheetPr codeName="Tabelle3">
    <tabColor theme="9" tint="0.79998168889431442"/>
  </sheetPr>
  <dimension ref="A1:M36"/>
  <sheetViews>
    <sheetView zoomScaleNormal="100" workbookViewId="0">
      <selection activeCell="M15" sqref="M15"/>
    </sheetView>
  </sheetViews>
  <sheetFormatPr baseColWidth="10" defaultColWidth="8.6640625" defaultRowHeight="14"/>
  <sheetData>
    <row r="1" spans="1:13" ht="14" customHeight="1">
      <c r="A1" s="99" t="s">
        <v>665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1"/>
    </row>
    <row r="2" spans="1:13" ht="14" customHeight="1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4"/>
    </row>
    <row r="3" spans="1:13" ht="14" customHeight="1">
      <c r="A3" s="105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7"/>
    </row>
    <row r="4" spans="1:13">
      <c r="A4" s="96" t="s">
        <v>656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8"/>
    </row>
    <row r="5" spans="1:13" ht="14" customHeight="1">
      <c r="A5" s="90" t="s">
        <v>657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2"/>
    </row>
    <row r="6" spans="1:13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</row>
    <row r="7" spans="1:13" ht="14.5" customHeight="1">
      <c r="A7" s="96" t="s">
        <v>644</v>
      </c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8"/>
    </row>
    <row r="8" spans="1:13" ht="14.5" customHeight="1">
      <c r="A8" s="90" t="s">
        <v>659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2"/>
    </row>
    <row r="9" spans="1:13" ht="14.5" customHeight="1">
      <c r="A9" s="90"/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2"/>
    </row>
    <row r="10" spans="1:13" ht="14.5" customHeight="1">
      <c r="A10" s="23"/>
      <c r="B10" s="9"/>
      <c r="C10" s="10"/>
      <c r="D10" s="10"/>
      <c r="E10" s="10"/>
      <c r="F10" s="10"/>
      <c r="G10" s="10"/>
      <c r="H10" s="10"/>
      <c r="I10" s="10"/>
      <c r="J10" s="10"/>
      <c r="K10" s="40"/>
      <c r="L10" s="41"/>
      <c r="M10" s="25"/>
    </row>
    <row r="11" spans="1:13" ht="14.5" customHeight="1">
      <c r="A11" s="23"/>
      <c r="B11" s="12"/>
      <c r="C11" s="115" t="s">
        <v>100</v>
      </c>
      <c r="D11" s="115"/>
      <c r="E11" s="115"/>
      <c r="F11" s="115"/>
      <c r="G11" s="115"/>
      <c r="H11" s="115"/>
      <c r="I11" s="115"/>
      <c r="J11" s="115"/>
      <c r="K11" s="115"/>
      <c r="L11" s="42"/>
      <c r="M11" s="25"/>
    </row>
    <row r="12" spans="1:13" ht="14.5" customHeight="1">
      <c r="A12" s="23"/>
      <c r="B12" s="12"/>
      <c r="C12" s="14"/>
      <c r="D12" s="14"/>
      <c r="E12" s="14"/>
      <c r="F12" s="14"/>
      <c r="G12" s="20"/>
      <c r="H12" s="14"/>
      <c r="I12" s="14"/>
      <c r="J12" s="14"/>
      <c r="K12" s="22"/>
      <c r="L12" s="42"/>
      <c r="M12" s="25"/>
    </row>
    <row r="13" spans="1:13" ht="14.5" customHeight="1">
      <c r="A13" s="23"/>
      <c r="B13" s="12"/>
      <c r="C13" s="121" t="s">
        <v>101</v>
      </c>
      <c r="D13" s="121"/>
      <c r="E13" s="121"/>
      <c r="F13" s="121"/>
      <c r="G13" s="21"/>
      <c r="H13" s="19"/>
      <c r="I13" s="116" t="s">
        <v>102</v>
      </c>
      <c r="J13" s="116"/>
      <c r="K13" s="19"/>
      <c r="L13" s="42"/>
      <c r="M13" s="25"/>
    </row>
    <row r="14" spans="1:13" ht="14.5" customHeight="1">
      <c r="A14" s="23"/>
      <c r="B14" s="12"/>
      <c r="C14" s="132" t="s">
        <v>658</v>
      </c>
      <c r="D14" s="133"/>
      <c r="E14" s="133"/>
      <c r="F14" s="134"/>
      <c r="G14" s="125" t="s">
        <v>655</v>
      </c>
      <c r="H14" s="142" t="s">
        <v>667</v>
      </c>
      <c r="I14" s="143"/>
      <c r="J14" s="143"/>
      <c r="K14" s="144"/>
      <c r="L14" s="42"/>
      <c r="M14" s="25"/>
    </row>
    <row r="15" spans="1:13" ht="14.5" customHeight="1">
      <c r="A15" s="23"/>
      <c r="B15" s="12"/>
      <c r="C15" s="135"/>
      <c r="D15" s="136"/>
      <c r="E15" s="136"/>
      <c r="F15" s="137"/>
      <c r="G15" s="125"/>
      <c r="H15" s="145"/>
      <c r="I15" s="146"/>
      <c r="J15" s="146"/>
      <c r="K15" s="147"/>
      <c r="L15" s="42"/>
      <c r="M15" s="25"/>
    </row>
    <row r="16" spans="1:13" ht="14.5" customHeight="1">
      <c r="A16" s="23"/>
      <c r="B16" s="12"/>
      <c r="C16" s="122"/>
      <c r="D16" s="122"/>
      <c r="E16" s="114"/>
      <c r="F16" s="114"/>
      <c r="G16" s="114"/>
      <c r="H16" s="18"/>
      <c r="I16" s="14"/>
      <c r="J16" s="14"/>
      <c r="K16" s="22"/>
      <c r="L16" s="42"/>
      <c r="M16" s="25"/>
    </row>
    <row r="17" spans="1:13" ht="14.5" customHeight="1">
      <c r="A17" s="23"/>
      <c r="B17" s="12"/>
      <c r="C17" s="14"/>
      <c r="D17" s="14"/>
      <c r="E17" s="14"/>
      <c r="F17" s="14"/>
      <c r="G17" s="14"/>
      <c r="H17" s="14"/>
      <c r="I17" s="14"/>
      <c r="J17" s="14"/>
      <c r="K17" s="22"/>
      <c r="L17" s="42"/>
      <c r="M17" s="25"/>
    </row>
    <row r="18" spans="1:13" ht="14.5" customHeight="1">
      <c r="A18" s="23"/>
      <c r="B18" s="12"/>
      <c r="C18" s="14"/>
      <c r="D18" s="14"/>
      <c r="E18" s="14"/>
      <c r="F18" s="14"/>
      <c r="G18" s="14"/>
      <c r="H18" s="14"/>
      <c r="I18" s="14"/>
      <c r="J18" s="14"/>
      <c r="K18" s="22"/>
      <c r="L18" s="42"/>
      <c r="M18" s="25"/>
    </row>
    <row r="19" spans="1:13" ht="14.5" customHeight="1">
      <c r="A19" s="23"/>
      <c r="B19" s="12"/>
      <c r="C19" s="14"/>
      <c r="D19" s="14"/>
      <c r="E19" s="14"/>
      <c r="F19" s="14"/>
      <c r="G19" s="14"/>
      <c r="H19" s="14"/>
      <c r="I19" s="14"/>
      <c r="J19" s="14"/>
      <c r="K19" s="22"/>
      <c r="L19" s="42"/>
      <c r="M19" s="25"/>
    </row>
    <row r="20" spans="1:13" ht="14.5" customHeight="1">
      <c r="A20" s="23"/>
      <c r="B20" s="12"/>
      <c r="C20" s="20"/>
      <c r="D20" s="14"/>
      <c r="E20" s="14"/>
      <c r="F20" s="14"/>
      <c r="G20" s="14"/>
      <c r="H20" s="14"/>
      <c r="I20" s="14"/>
      <c r="J20" s="14"/>
      <c r="K20" s="22"/>
      <c r="L20" s="42"/>
      <c r="M20" s="25"/>
    </row>
    <row r="21" spans="1:13" ht="14.5" customHeight="1">
      <c r="A21" s="23"/>
      <c r="B21" s="15"/>
      <c r="C21" s="16"/>
      <c r="D21" s="16"/>
      <c r="E21" s="16"/>
      <c r="F21" s="16"/>
      <c r="G21" s="16"/>
      <c r="H21" s="16"/>
      <c r="I21" s="16"/>
      <c r="J21" s="16"/>
      <c r="K21" s="43"/>
      <c r="L21" s="44"/>
      <c r="M21" s="25"/>
    </row>
    <row r="22" spans="1:13" ht="14.5" customHeight="1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3"/>
    </row>
    <row r="23" spans="1:13" ht="14.5" customHeight="1">
      <c r="A23" s="96" t="s">
        <v>654</v>
      </c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8"/>
    </row>
    <row r="24" spans="1:13" ht="14.5" customHeight="1">
      <c r="A24" s="108" t="s">
        <v>660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9"/>
    </row>
    <row r="25" spans="1:13" ht="14.5" customHeight="1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9"/>
    </row>
    <row r="26" spans="1:13" ht="14.5" customHeight="1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9"/>
    </row>
    <row r="27" spans="1:13" ht="14.5" customHeight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9"/>
    </row>
    <row r="28" spans="1:13" ht="14.5" customHeight="1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9"/>
    </row>
    <row r="29" spans="1:13" ht="14.5" customHeight="1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9"/>
    </row>
    <row r="30" spans="1:13">
      <c r="A30" s="97" t="s">
        <v>653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8"/>
    </row>
    <row r="31" spans="1:13" ht="14" customHeight="1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6"/>
    </row>
    <row r="32" spans="1:13">
      <c r="A32" s="45"/>
      <c r="B32" s="148" t="s">
        <v>652</v>
      </c>
      <c r="C32" s="140"/>
      <c r="D32" s="140" t="s">
        <v>103</v>
      </c>
      <c r="E32" s="140"/>
      <c r="F32" s="150" t="s">
        <v>104</v>
      </c>
      <c r="G32" s="150"/>
      <c r="H32" s="45"/>
      <c r="I32" s="45"/>
      <c r="J32" s="45"/>
      <c r="K32" s="45"/>
      <c r="L32" s="45"/>
      <c r="M32" s="46"/>
    </row>
    <row r="33" spans="1:13">
      <c r="A33" s="45"/>
      <c r="B33" s="149" t="s">
        <v>3</v>
      </c>
      <c r="C33" s="141"/>
      <c r="D33" s="141" t="s">
        <v>92</v>
      </c>
      <c r="E33" s="141"/>
      <c r="F33" s="151" t="s">
        <v>18</v>
      </c>
      <c r="G33" s="151"/>
      <c r="H33" s="45"/>
      <c r="I33" s="45"/>
      <c r="J33" s="45"/>
      <c r="K33" s="45"/>
      <c r="L33" s="45"/>
      <c r="M33" s="46"/>
    </row>
    <row r="34" spans="1:13">
      <c r="A34" s="45"/>
      <c r="B34" s="149" t="s">
        <v>8</v>
      </c>
      <c r="C34" s="141"/>
      <c r="D34" s="141" t="s">
        <v>93</v>
      </c>
      <c r="E34" s="141"/>
      <c r="F34" s="151" t="s">
        <v>38</v>
      </c>
      <c r="G34" s="151"/>
      <c r="H34" s="45"/>
      <c r="I34" s="45"/>
      <c r="J34" s="45"/>
      <c r="K34" s="45"/>
      <c r="L34" s="45"/>
      <c r="M34" s="46"/>
    </row>
    <row r="35" spans="1:13">
      <c r="A35" s="45"/>
      <c r="B35" s="138" t="s">
        <v>5</v>
      </c>
      <c r="C35" s="139"/>
      <c r="D35" s="139" t="s">
        <v>96</v>
      </c>
      <c r="E35" s="139"/>
      <c r="F35" s="141" t="s">
        <v>95</v>
      </c>
      <c r="G35" s="141"/>
      <c r="H35" s="45"/>
      <c r="I35" s="45"/>
      <c r="J35" s="45"/>
      <c r="K35" s="45"/>
      <c r="L35" s="45"/>
      <c r="M35" s="46"/>
    </row>
    <row r="36" spans="1:13" ht="14.5" thickBo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8"/>
    </row>
  </sheetData>
  <mergeCells count="30">
    <mergeCell ref="B35:C35"/>
    <mergeCell ref="D32:E32"/>
    <mergeCell ref="D33:E33"/>
    <mergeCell ref="H14:K15"/>
    <mergeCell ref="C11:K11"/>
    <mergeCell ref="A24:M29"/>
    <mergeCell ref="A30:M30"/>
    <mergeCell ref="B32:C32"/>
    <mergeCell ref="B33:C33"/>
    <mergeCell ref="B34:C34"/>
    <mergeCell ref="D34:E34"/>
    <mergeCell ref="D35:E35"/>
    <mergeCell ref="F32:G32"/>
    <mergeCell ref="F33:G33"/>
    <mergeCell ref="F34:G34"/>
    <mergeCell ref="F35:G35"/>
    <mergeCell ref="A8:M9"/>
    <mergeCell ref="A22:M22"/>
    <mergeCell ref="A23:M23"/>
    <mergeCell ref="G14:G15"/>
    <mergeCell ref="I13:J13"/>
    <mergeCell ref="C14:F15"/>
    <mergeCell ref="C13:F13"/>
    <mergeCell ref="C16:D16"/>
    <mergeCell ref="E16:G16"/>
    <mergeCell ref="A1:M2"/>
    <mergeCell ref="A3:M3"/>
    <mergeCell ref="A4:M4"/>
    <mergeCell ref="A7:M7"/>
    <mergeCell ref="A5:M6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153C-05EC-44B5-94D3-283DB5CB4A7C}">
  <sheetPr codeName="Tabelle6">
    <tabColor theme="9" tint="0.79998168889431442"/>
  </sheetPr>
  <dimension ref="A1:P101"/>
  <sheetViews>
    <sheetView topLeftCell="A79" workbookViewId="0"/>
  </sheetViews>
  <sheetFormatPr baseColWidth="10" defaultColWidth="8.6640625" defaultRowHeight="14"/>
  <cols>
    <col min="1" max="1" width="10" customWidth="1"/>
    <col min="2" max="2" width="18" customWidth="1"/>
    <col min="3" max="3" width="12" customWidth="1"/>
    <col min="4" max="4" width="14" customWidth="1"/>
    <col min="5" max="5" width="26" customWidth="1"/>
    <col min="6" max="6" width="20" customWidth="1"/>
    <col min="7" max="7" width="13" customWidth="1"/>
    <col min="8" max="8" width="12" customWidth="1"/>
    <col min="9" max="9" width="16" customWidth="1"/>
    <col min="10" max="10" width="13" customWidth="1"/>
    <col min="11" max="12" width="14" customWidth="1"/>
    <col min="13" max="13" width="16" customWidth="1"/>
    <col min="14" max="14" width="12" customWidth="1"/>
    <col min="15" max="15" width="18" customWidth="1"/>
    <col min="16" max="16" width="24" customWidth="1"/>
  </cols>
  <sheetData>
    <row r="1" spans="1:1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  <row r="2" spans="1:16">
      <c r="A2" s="3" t="s">
        <v>341</v>
      </c>
      <c r="B2" s="3" t="s">
        <v>16</v>
      </c>
      <c r="C2" s="3" t="s">
        <v>83</v>
      </c>
      <c r="D2" s="3" t="s">
        <v>105</v>
      </c>
      <c r="E2" s="3" t="s">
        <v>106</v>
      </c>
      <c r="F2" s="3" t="s">
        <v>322</v>
      </c>
      <c r="G2" s="3" t="s">
        <v>342</v>
      </c>
      <c r="H2" s="3" t="s">
        <v>343</v>
      </c>
      <c r="I2" s="3" t="s">
        <v>108</v>
      </c>
      <c r="J2" s="3" t="s">
        <v>24</v>
      </c>
      <c r="K2" s="3" t="s">
        <v>25</v>
      </c>
      <c r="L2" s="3" t="s">
        <v>344</v>
      </c>
      <c r="M2" s="3" t="s">
        <v>27</v>
      </c>
      <c r="N2" s="3" t="s">
        <v>28</v>
      </c>
      <c r="O2" s="3" t="s">
        <v>67</v>
      </c>
      <c r="P2" s="3" t="s">
        <v>68</v>
      </c>
    </row>
    <row r="3" spans="1:16">
      <c r="A3" s="2" t="s">
        <v>345</v>
      </c>
      <c r="B3" s="2" t="s">
        <v>16</v>
      </c>
      <c r="C3" s="2" t="s">
        <v>109</v>
      </c>
      <c r="D3" s="2" t="s">
        <v>302</v>
      </c>
      <c r="E3" s="2" t="s">
        <v>111</v>
      </c>
      <c r="F3" s="2" t="s">
        <v>323</v>
      </c>
      <c r="G3" s="2" t="s">
        <v>346</v>
      </c>
      <c r="H3" s="2" t="s">
        <v>59</v>
      </c>
      <c r="I3" s="2" t="s">
        <v>60</v>
      </c>
      <c r="J3" s="2" t="s">
        <v>24</v>
      </c>
      <c r="K3" s="2" t="s">
        <v>50</v>
      </c>
      <c r="L3" s="2" t="s">
        <v>347</v>
      </c>
      <c r="M3" s="2" t="s">
        <v>27</v>
      </c>
      <c r="N3" s="2" t="s">
        <v>41</v>
      </c>
      <c r="O3" s="2" t="s">
        <v>42</v>
      </c>
      <c r="P3" s="2" t="s">
        <v>43</v>
      </c>
    </row>
    <row r="4" spans="1:16">
      <c r="A4" s="2" t="s">
        <v>348</v>
      </c>
      <c r="B4" s="2" t="s">
        <v>16</v>
      </c>
      <c r="C4" s="2" t="s">
        <v>113</v>
      </c>
      <c r="D4" s="2" t="s">
        <v>324</v>
      </c>
      <c r="E4" s="2" t="s">
        <v>115</v>
      </c>
      <c r="F4" s="2" t="s">
        <v>325</v>
      </c>
      <c r="G4" s="2" t="s">
        <v>349</v>
      </c>
      <c r="H4" s="2" t="s">
        <v>350</v>
      </c>
      <c r="I4" s="2" t="s">
        <v>117</v>
      </c>
      <c r="J4" s="2" t="s">
        <v>24</v>
      </c>
      <c r="K4" s="2" t="s">
        <v>39</v>
      </c>
      <c r="L4" s="2" t="s">
        <v>351</v>
      </c>
      <c r="M4" s="2" t="s">
        <v>62</v>
      </c>
      <c r="N4" s="2"/>
      <c r="O4" s="2"/>
      <c r="P4" s="2"/>
    </row>
    <row r="5" spans="1:16">
      <c r="A5" s="2" t="s">
        <v>352</v>
      </c>
      <c r="B5" s="2" t="s">
        <v>16</v>
      </c>
      <c r="C5" s="2" t="s">
        <v>118</v>
      </c>
      <c r="D5" s="2" t="s">
        <v>119</v>
      </c>
      <c r="E5" s="2" t="s">
        <v>120</v>
      </c>
      <c r="F5" s="2" t="s">
        <v>95</v>
      </c>
      <c r="G5" s="2" t="s">
        <v>353</v>
      </c>
      <c r="H5" s="2" t="s">
        <v>354</v>
      </c>
      <c r="I5" s="2" t="s">
        <v>303</v>
      </c>
      <c r="J5" s="2" t="s">
        <v>24</v>
      </c>
      <c r="K5" s="2" t="s">
        <v>47</v>
      </c>
      <c r="L5" s="2" t="s">
        <v>355</v>
      </c>
      <c r="M5" s="2" t="s">
        <v>27</v>
      </c>
      <c r="N5" s="2" t="s">
        <v>28</v>
      </c>
      <c r="O5" s="2" t="s">
        <v>73</v>
      </c>
      <c r="P5" s="2" t="s">
        <v>74</v>
      </c>
    </row>
    <row r="6" spans="1:16">
      <c r="A6" s="2" t="s">
        <v>356</v>
      </c>
      <c r="B6" s="2" t="s">
        <v>16</v>
      </c>
      <c r="C6" s="2" t="s">
        <v>83</v>
      </c>
      <c r="D6" s="2" t="s">
        <v>84</v>
      </c>
      <c r="E6" s="2" t="s">
        <v>85</v>
      </c>
      <c r="F6" s="2" t="s">
        <v>86</v>
      </c>
      <c r="G6" s="2" t="s">
        <v>124</v>
      </c>
      <c r="H6" s="2" t="s">
        <v>88</v>
      </c>
      <c r="I6" s="2" t="s">
        <v>89</v>
      </c>
      <c r="J6" s="2" t="s">
        <v>24</v>
      </c>
      <c r="K6" s="2" t="s">
        <v>25</v>
      </c>
      <c r="L6" s="2" t="s">
        <v>357</v>
      </c>
      <c r="M6" s="2" t="s">
        <v>27</v>
      </c>
      <c r="N6" s="2" t="s">
        <v>41</v>
      </c>
      <c r="O6" s="2" t="s">
        <v>67</v>
      </c>
      <c r="P6" s="2" t="s">
        <v>68</v>
      </c>
    </row>
    <row r="7" spans="1:16">
      <c r="A7" s="2" t="s">
        <v>358</v>
      </c>
      <c r="B7" s="2" t="s">
        <v>16</v>
      </c>
      <c r="C7" s="2" t="s">
        <v>125</v>
      </c>
      <c r="D7" s="2" t="s">
        <v>304</v>
      </c>
      <c r="E7" s="2" t="s">
        <v>127</v>
      </c>
      <c r="F7" s="2" t="s">
        <v>57</v>
      </c>
      <c r="G7" s="2" t="s">
        <v>359</v>
      </c>
      <c r="H7" s="2" t="s">
        <v>360</v>
      </c>
      <c r="I7" s="2" t="s">
        <v>129</v>
      </c>
      <c r="J7" s="2" t="s">
        <v>24</v>
      </c>
      <c r="K7" s="2" t="s">
        <v>25</v>
      </c>
      <c r="L7" s="2" t="s">
        <v>361</v>
      </c>
      <c r="M7" s="2" t="s">
        <v>62</v>
      </c>
      <c r="N7" s="2"/>
      <c r="O7" s="2"/>
      <c r="P7" s="2"/>
    </row>
    <row r="8" spans="1:16">
      <c r="A8" s="2" t="s">
        <v>36</v>
      </c>
      <c r="B8" s="2" t="s">
        <v>16</v>
      </c>
      <c r="C8" s="2" t="s">
        <v>17</v>
      </c>
      <c r="D8" s="2" t="s">
        <v>18</v>
      </c>
      <c r="E8" s="2" t="s">
        <v>19</v>
      </c>
      <c r="F8" s="2" t="s">
        <v>20</v>
      </c>
      <c r="G8" s="2" t="s">
        <v>21</v>
      </c>
      <c r="H8" s="2" t="s">
        <v>22</v>
      </c>
      <c r="I8" s="2" t="s">
        <v>23</v>
      </c>
      <c r="J8" s="2" t="s">
        <v>24</v>
      </c>
      <c r="K8" s="2" t="s">
        <v>25</v>
      </c>
      <c r="L8" s="2" t="s">
        <v>26</v>
      </c>
      <c r="M8" s="2" t="s">
        <v>27</v>
      </c>
      <c r="N8" s="2" t="s">
        <v>28</v>
      </c>
      <c r="O8" s="2" t="s">
        <v>29</v>
      </c>
      <c r="P8" s="2" t="s">
        <v>30</v>
      </c>
    </row>
    <row r="9" spans="1:16">
      <c r="A9" s="2" t="s">
        <v>362</v>
      </c>
      <c r="B9" s="2" t="s">
        <v>16</v>
      </c>
      <c r="C9" s="2" t="s">
        <v>132</v>
      </c>
      <c r="D9" s="2" t="s">
        <v>133</v>
      </c>
      <c r="E9" s="2" t="s">
        <v>134</v>
      </c>
      <c r="F9" s="2" t="s">
        <v>326</v>
      </c>
      <c r="G9" s="2" t="s">
        <v>363</v>
      </c>
      <c r="H9" s="2" t="s">
        <v>364</v>
      </c>
      <c r="I9" s="2" t="s">
        <v>136</v>
      </c>
      <c r="J9" s="2" t="s">
        <v>24</v>
      </c>
      <c r="K9" s="2" t="s">
        <v>39</v>
      </c>
      <c r="L9" s="2" t="s">
        <v>365</v>
      </c>
      <c r="M9" s="2" t="s">
        <v>27</v>
      </c>
      <c r="N9" s="2" t="s">
        <v>41</v>
      </c>
      <c r="O9" s="2" t="s">
        <v>73</v>
      </c>
      <c r="P9" s="2" t="s">
        <v>74</v>
      </c>
    </row>
    <row r="10" spans="1:16">
      <c r="A10" s="2" t="s">
        <v>366</v>
      </c>
      <c r="B10" s="2" t="s">
        <v>16</v>
      </c>
      <c r="C10" s="2" t="s">
        <v>137</v>
      </c>
      <c r="D10" s="2" t="s">
        <v>305</v>
      </c>
      <c r="E10" s="2" t="s">
        <v>139</v>
      </c>
      <c r="F10" s="2" t="s">
        <v>327</v>
      </c>
      <c r="G10" s="2" t="s">
        <v>367</v>
      </c>
      <c r="H10" s="2" t="s">
        <v>368</v>
      </c>
      <c r="I10" s="2" t="s">
        <v>306</v>
      </c>
      <c r="J10" s="2" t="s">
        <v>24</v>
      </c>
      <c r="K10" s="2" t="s">
        <v>47</v>
      </c>
      <c r="L10" s="2" t="s">
        <v>369</v>
      </c>
      <c r="M10" s="2" t="s">
        <v>62</v>
      </c>
      <c r="N10" s="2"/>
      <c r="O10" s="2"/>
      <c r="P10" s="2"/>
    </row>
    <row r="11" spans="1:16">
      <c r="A11" s="2" t="s">
        <v>370</v>
      </c>
      <c r="B11" s="2" t="s">
        <v>16</v>
      </c>
      <c r="C11" s="2" t="s">
        <v>142</v>
      </c>
      <c r="D11" s="2" t="s">
        <v>307</v>
      </c>
      <c r="E11" s="2" t="s">
        <v>144</v>
      </c>
      <c r="F11" s="2" t="s">
        <v>20</v>
      </c>
      <c r="G11" s="2" t="s">
        <v>371</v>
      </c>
      <c r="H11" s="2" t="s">
        <v>372</v>
      </c>
      <c r="I11" s="2" t="s">
        <v>145</v>
      </c>
      <c r="J11" s="2" t="s">
        <v>24</v>
      </c>
      <c r="K11" s="2" t="s">
        <v>90</v>
      </c>
      <c r="L11" s="2" t="s">
        <v>373</v>
      </c>
      <c r="M11" s="2" t="s">
        <v>27</v>
      </c>
      <c r="N11" s="2" t="s">
        <v>28</v>
      </c>
      <c r="O11" s="2" t="s">
        <v>42</v>
      </c>
      <c r="P11" s="2" t="s">
        <v>43</v>
      </c>
    </row>
    <row r="12" spans="1:16">
      <c r="A12" s="2" t="s">
        <v>374</v>
      </c>
      <c r="B12" s="2" t="s">
        <v>16</v>
      </c>
      <c r="C12" s="2" t="s">
        <v>146</v>
      </c>
      <c r="D12" s="2" t="s">
        <v>33</v>
      </c>
      <c r="E12" s="2" t="s">
        <v>148</v>
      </c>
      <c r="F12" s="2" t="s">
        <v>328</v>
      </c>
      <c r="G12" s="2" t="s">
        <v>375</v>
      </c>
      <c r="H12" s="2" t="s">
        <v>376</v>
      </c>
      <c r="I12" s="2" t="s">
        <v>308</v>
      </c>
      <c r="J12" s="2" t="s">
        <v>24</v>
      </c>
      <c r="K12" s="2" t="s">
        <v>25</v>
      </c>
      <c r="L12" s="2" t="s">
        <v>377</v>
      </c>
      <c r="M12" s="2" t="s">
        <v>27</v>
      </c>
      <c r="N12" s="2" t="s">
        <v>41</v>
      </c>
      <c r="O12" s="2" t="s">
        <v>29</v>
      </c>
      <c r="P12" s="2" t="s">
        <v>30</v>
      </c>
    </row>
    <row r="13" spans="1:16">
      <c r="A13" s="2" t="s">
        <v>46</v>
      </c>
      <c r="B13" s="2" t="s">
        <v>16</v>
      </c>
      <c r="C13" s="2" t="s">
        <v>151</v>
      </c>
      <c r="D13" s="2" t="s">
        <v>152</v>
      </c>
      <c r="E13" s="2" t="s">
        <v>153</v>
      </c>
      <c r="F13" s="2" t="s">
        <v>329</v>
      </c>
      <c r="G13" s="2" t="s">
        <v>378</v>
      </c>
      <c r="H13" s="2" t="s">
        <v>379</v>
      </c>
      <c r="I13" s="2" t="s">
        <v>155</v>
      </c>
      <c r="J13" s="2" t="s">
        <v>24</v>
      </c>
      <c r="K13" s="2" t="s">
        <v>50</v>
      </c>
      <c r="L13" s="2" t="s">
        <v>380</v>
      </c>
      <c r="M13" s="2" t="s">
        <v>62</v>
      </c>
      <c r="N13" s="2"/>
      <c r="O13" s="2"/>
      <c r="P13" s="2"/>
    </row>
    <row r="14" spans="1:16">
      <c r="A14" s="2" t="s">
        <v>381</v>
      </c>
      <c r="B14" s="2" t="s">
        <v>31</v>
      </c>
      <c r="C14" s="2" t="s">
        <v>32</v>
      </c>
      <c r="D14" s="2" t="s">
        <v>309</v>
      </c>
      <c r="E14" s="2" t="s">
        <v>157</v>
      </c>
      <c r="F14" s="2" t="s">
        <v>330</v>
      </c>
      <c r="G14" s="2" t="s">
        <v>382</v>
      </c>
      <c r="H14" s="2" t="s">
        <v>37</v>
      </c>
      <c r="I14" s="2" t="s">
        <v>38</v>
      </c>
      <c r="J14" s="2" t="s">
        <v>24</v>
      </c>
      <c r="K14" s="2" t="s">
        <v>39</v>
      </c>
      <c r="L14" s="2" t="s">
        <v>383</v>
      </c>
      <c r="M14" s="2" t="s">
        <v>27</v>
      </c>
      <c r="N14" s="2" t="s">
        <v>28</v>
      </c>
      <c r="O14" s="2" t="s">
        <v>67</v>
      </c>
      <c r="P14" s="2" t="s">
        <v>68</v>
      </c>
    </row>
    <row r="15" spans="1:16">
      <c r="A15" s="2" t="s">
        <v>384</v>
      </c>
      <c r="B15" s="2" t="s">
        <v>31</v>
      </c>
      <c r="C15" s="2" t="s">
        <v>32</v>
      </c>
      <c r="D15" s="2" t="s">
        <v>33</v>
      </c>
      <c r="E15" s="2" t="s">
        <v>34</v>
      </c>
      <c r="F15" s="2" t="s">
        <v>35</v>
      </c>
      <c r="G15" s="2" t="s">
        <v>36</v>
      </c>
      <c r="H15" s="2" t="s">
        <v>37</v>
      </c>
      <c r="I15" s="2" t="s">
        <v>38</v>
      </c>
      <c r="J15" s="2" t="s">
        <v>24</v>
      </c>
      <c r="K15" s="2" t="s">
        <v>39</v>
      </c>
      <c r="L15" s="2" t="s">
        <v>40</v>
      </c>
      <c r="M15" s="2" t="s">
        <v>27</v>
      </c>
      <c r="N15" s="2" t="s">
        <v>41</v>
      </c>
      <c r="O15" s="2" t="s">
        <v>42</v>
      </c>
      <c r="P15" s="2" t="s">
        <v>43</v>
      </c>
    </row>
    <row r="16" spans="1:16">
      <c r="A16" s="2" t="s">
        <v>385</v>
      </c>
      <c r="B16" s="2" t="s">
        <v>16</v>
      </c>
      <c r="C16" s="2" t="s">
        <v>160</v>
      </c>
      <c r="D16" s="2" t="s">
        <v>310</v>
      </c>
      <c r="E16" s="2" t="s">
        <v>162</v>
      </c>
      <c r="F16" s="2" t="s">
        <v>331</v>
      </c>
      <c r="G16" s="2" t="s">
        <v>386</v>
      </c>
      <c r="H16" s="2" t="s">
        <v>387</v>
      </c>
      <c r="I16" s="2" t="s">
        <v>311</v>
      </c>
      <c r="J16" s="2" t="s">
        <v>24</v>
      </c>
      <c r="K16" s="2" t="s">
        <v>90</v>
      </c>
      <c r="L16" s="2" t="s">
        <v>388</v>
      </c>
      <c r="M16" s="2" t="s">
        <v>62</v>
      </c>
      <c r="N16" s="2"/>
      <c r="O16" s="2"/>
      <c r="P16" s="2"/>
    </row>
    <row r="17" spans="1:16">
      <c r="A17" s="2" t="s">
        <v>389</v>
      </c>
      <c r="B17" s="2" t="s">
        <v>16</v>
      </c>
      <c r="C17" s="2" t="s">
        <v>165</v>
      </c>
      <c r="D17" s="2" t="s">
        <v>166</v>
      </c>
      <c r="E17" s="2" t="s">
        <v>167</v>
      </c>
      <c r="F17" s="2" t="s">
        <v>332</v>
      </c>
      <c r="G17" s="2" t="s">
        <v>390</v>
      </c>
      <c r="H17" s="2" t="s">
        <v>391</v>
      </c>
      <c r="I17" s="2" t="s">
        <v>169</v>
      </c>
      <c r="J17" s="2" t="s">
        <v>24</v>
      </c>
      <c r="K17" s="2" t="s">
        <v>25</v>
      </c>
      <c r="L17" s="2" t="s">
        <v>392</v>
      </c>
      <c r="M17" s="2" t="s">
        <v>27</v>
      </c>
      <c r="N17" s="2" t="s">
        <v>28</v>
      </c>
      <c r="O17" s="2" t="s">
        <v>73</v>
      </c>
      <c r="P17" s="2" t="s">
        <v>74</v>
      </c>
    </row>
    <row r="18" spans="1:16">
      <c r="A18" s="2" t="s">
        <v>393</v>
      </c>
      <c r="B18" s="2" t="s">
        <v>16</v>
      </c>
      <c r="C18" s="2" t="s">
        <v>170</v>
      </c>
      <c r="D18" s="2" t="s">
        <v>84</v>
      </c>
      <c r="E18" s="2" t="s">
        <v>171</v>
      </c>
      <c r="F18" s="2" t="s">
        <v>333</v>
      </c>
      <c r="G18" s="2" t="s">
        <v>394</v>
      </c>
      <c r="H18" s="2" t="s">
        <v>395</v>
      </c>
      <c r="I18" s="2" t="s">
        <v>173</v>
      </c>
      <c r="J18" s="2" t="s">
        <v>24</v>
      </c>
      <c r="K18" s="2" t="s">
        <v>50</v>
      </c>
      <c r="L18" s="2" t="s">
        <v>396</v>
      </c>
      <c r="M18" s="2" t="s">
        <v>27</v>
      </c>
      <c r="N18" s="2" t="s">
        <v>41</v>
      </c>
      <c r="O18" s="2" t="s">
        <v>67</v>
      </c>
      <c r="P18" s="2" t="s">
        <v>68</v>
      </c>
    </row>
    <row r="19" spans="1:16">
      <c r="A19" s="2" t="s">
        <v>21</v>
      </c>
      <c r="B19" s="2" t="s">
        <v>16</v>
      </c>
      <c r="C19" s="2" t="s">
        <v>174</v>
      </c>
      <c r="D19" s="2" t="s">
        <v>175</v>
      </c>
      <c r="E19" s="2" t="s">
        <v>176</v>
      </c>
      <c r="F19" s="2" t="s">
        <v>334</v>
      </c>
      <c r="G19" s="2" t="s">
        <v>397</v>
      </c>
      <c r="H19" s="2" t="s">
        <v>398</v>
      </c>
      <c r="I19" s="2" t="s">
        <v>178</v>
      </c>
      <c r="J19" s="2" t="s">
        <v>24</v>
      </c>
      <c r="K19" s="2" t="s">
        <v>39</v>
      </c>
      <c r="L19" s="2" t="s">
        <v>399</v>
      </c>
      <c r="M19" s="2" t="s">
        <v>62</v>
      </c>
      <c r="N19" s="2"/>
      <c r="O19" s="2"/>
      <c r="P19" s="2"/>
    </row>
    <row r="20" spans="1:16">
      <c r="A20" s="2" t="s">
        <v>400</v>
      </c>
      <c r="B20" s="2" t="s">
        <v>16</v>
      </c>
      <c r="C20" s="2" t="s">
        <v>83</v>
      </c>
      <c r="D20" s="2" t="s">
        <v>84</v>
      </c>
      <c r="E20" s="2" t="s">
        <v>85</v>
      </c>
      <c r="F20" s="2" t="s">
        <v>312</v>
      </c>
      <c r="G20" s="2" t="s">
        <v>124</v>
      </c>
      <c r="H20" s="2" t="s">
        <v>88</v>
      </c>
      <c r="I20" s="2" t="s">
        <v>89</v>
      </c>
      <c r="J20" s="2" t="s">
        <v>24</v>
      </c>
      <c r="K20" s="2" t="s">
        <v>50</v>
      </c>
      <c r="L20" s="2" t="s">
        <v>401</v>
      </c>
      <c r="M20" s="2" t="s">
        <v>27</v>
      </c>
      <c r="N20" s="2" t="s">
        <v>28</v>
      </c>
      <c r="O20" s="2" t="s">
        <v>29</v>
      </c>
      <c r="P20" s="2" t="s">
        <v>30</v>
      </c>
    </row>
    <row r="21" spans="1:16">
      <c r="A21" s="2" t="s">
        <v>402</v>
      </c>
      <c r="B21" s="2" t="s">
        <v>16</v>
      </c>
      <c r="C21" s="2" t="s">
        <v>180</v>
      </c>
      <c r="D21" s="2" t="s">
        <v>181</v>
      </c>
      <c r="E21" s="2" t="s">
        <v>182</v>
      </c>
      <c r="F21" s="2" t="s">
        <v>335</v>
      </c>
      <c r="G21" s="2" t="s">
        <v>403</v>
      </c>
      <c r="H21" s="2" t="s">
        <v>404</v>
      </c>
      <c r="I21" s="2" t="s">
        <v>313</v>
      </c>
      <c r="J21" s="2" t="s">
        <v>24</v>
      </c>
      <c r="K21" s="2" t="s">
        <v>90</v>
      </c>
      <c r="L21" s="2" t="s">
        <v>405</v>
      </c>
      <c r="M21" s="2" t="s">
        <v>27</v>
      </c>
      <c r="N21" s="2" t="s">
        <v>41</v>
      </c>
      <c r="O21" s="2" t="s">
        <v>73</v>
      </c>
      <c r="P21" s="2" t="s">
        <v>74</v>
      </c>
    </row>
    <row r="22" spans="1:16">
      <c r="A22" s="2" t="s">
        <v>406</v>
      </c>
      <c r="B22" s="2" t="s">
        <v>16</v>
      </c>
      <c r="C22" s="2" t="s">
        <v>185</v>
      </c>
      <c r="D22" s="2" t="s">
        <v>314</v>
      </c>
      <c r="E22" s="2" t="s">
        <v>187</v>
      </c>
      <c r="F22" s="2" t="s">
        <v>336</v>
      </c>
      <c r="G22" s="2" t="s">
        <v>407</v>
      </c>
      <c r="H22" s="2" t="s">
        <v>88</v>
      </c>
      <c r="I22" s="2" t="s">
        <v>89</v>
      </c>
      <c r="J22" s="2" t="s">
        <v>24</v>
      </c>
      <c r="K22" s="2" t="s">
        <v>25</v>
      </c>
      <c r="L22" s="2" t="s">
        <v>408</v>
      </c>
      <c r="M22" s="2" t="s">
        <v>62</v>
      </c>
      <c r="N22" s="2"/>
      <c r="O22" s="2"/>
      <c r="P22" s="2"/>
    </row>
    <row r="23" spans="1:16">
      <c r="A23" s="2" t="s">
        <v>79</v>
      </c>
      <c r="B23" s="2" t="s">
        <v>16</v>
      </c>
      <c r="C23" s="2" t="s">
        <v>189</v>
      </c>
      <c r="D23" s="2" t="s">
        <v>55</v>
      </c>
      <c r="E23" s="2" t="s">
        <v>191</v>
      </c>
      <c r="F23" s="2" t="s">
        <v>337</v>
      </c>
      <c r="G23" s="2" t="s">
        <v>409</v>
      </c>
      <c r="H23" s="2" t="s">
        <v>410</v>
      </c>
      <c r="I23" s="2" t="s">
        <v>315</v>
      </c>
      <c r="J23" s="2" t="s">
        <v>24</v>
      </c>
      <c r="K23" s="2" t="s">
        <v>50</v>
      </c>
      <c r="L23" s="2" t="s">
        <v>411</v>
      </c>
      <c r="M23" s="2" t="s">
        <v>27</v>
      </c>
      <c r="N23" s="2" t="s">
        <v>28</v>
      </c>
      <c r="O23" s="2" t="s">
        <v>42</v>
      </c>
      <c r="P23" s="2" t="s">
        <v>43</v>
      </c>
    </row>
    <row r="24" spans="1:16">
      <c r="A24" s="2" t="s">
        <v>412</v>
      </c>
      <c r="B24" s="2" t="s">
        <v>16</v>
      </c>
      <c r="C24" s="2" t="s">
        <v>194</v>
      </c>
      <c r="D24" s="2" t="s">
        <v>195</v>
      </c>
      <c r="E24" s="2" t="s">
        <v>196</v>
      </c>
      <c r="F24" s="2" t="s">
        <v>86</v>
      </c>
      <c r="G24" s="2" t="s">
        <v>413</v>
      </c>
      <c r="H24" s="2" t="s">
        <v>414</v>
      </c>
      <c r="I24" s="2" t="s">
        <v>197</v>
      </c>
      <c r="J24" s="2" t="s">
        <v>24</v>
      </c>
      <c r="K24" s="2" t="s">
        <v>39</v>
      </c>
      <c r="L24" s="2" t="s">
        <v>415</v>
      </c>
      <c r="M24" s="2" t="s">
        <v>27</v>
      </c>
      <c r="N24" s="2" t="s">
        <v>41</v>
      </c>
      <c r="O24" s="2" t="s">
        <v>29</v>
      </c>
      <c r="P24" s="2" t="s">
        <v>30</v>
      </c>
    </row>
    <row r="25" spans="1:16">
      <c r="A25" s="2" t="s">
        <v>416</v>
      </c>
      <c r="B25" s="2" t="s">
        <v>16</v>
      </c>
      <c r="C25" s="2" t="s">
        <v>198</v>
      </c>
      <c r="D25" s="2" t="s">
        <v>199</v>
      </c>
      <c r="E25" s="2" t="s">
        <v>200</v>
      </c>
      <c r="F25" s="2" t="s">
        <v>45</v>
      </c>
      <c r="G25" s="2" t="s">
        <v>417</v>
      </c>
      <c r="H25" s="2" t="s">
        <v>22</v>
      </c>
      <c r="I25" s="2" t="s">
        <v>23</v>
      </c>
      <c r="J25" s="2" t="s">
        <v>24</v>
      </c>
      <c r="K25" s="2" t="s">
        <v>47</v>
      </c>
      <c r="L25" s="2" t="s">
        <v>418</v>
      </c>
      <c r="M25" s="2" t="s">
        <v>62</v>
      </c>
      <c r="N25" s="2"/>
      <c r="O25" s="2"/>
      <c r="P25" s="2"/>
    </row>
    <row r="26" spans="1:16">
      <c r="A26" s="2" t="s">
        <v>419</v>
      </c>
      <c r="B26" s="2" t="s">
        <v>16</v>
      </c>
      <c r="C26" s="2" t="s">
        <v>202</v>
      </c>
      <c r="D26" s="2" t="s">
        <v>316</v>
      </c>
      <c r="E26" s="2" t="s">
        <v>204</v>
      </c>
      <c r="F26" s="2" t="s">
        <v>322</v>
      </c>
      <c r="G26" s="2" t="s">
        <v>420</v>
      </c>
      <c r="H26" s="2" t="s">
        <v>343</v>
      </c>
      <c r="I26" s="2" t="s">
        <v>108</v>
      </c>
      <c r="J26" s="2" t="s">
        <v>24</v>
      </c>
      <c r="K26" s="2" t="s">
        <v>90</v>
      </c>
      <c r="L26" s="2" t="s">
        <v>421</v>
      </c>
      <c r="M26" s="2" t="s">
        <v>27</v>
      </c>
      <c r="N26" s="2" t="s">
        <v>28</v>
      </c>
      <c r="O26" s="2" t="s">
        <v>67</v>
      </c>
      <c r="P26" s="2" t="s">
        <v>68</v>
      </c>
    </row>
    <row r="27" spans="1:16">
      <c r="A27" s="2" t="s">
        <v>422</v>
      </c>
      <c r="B27" s="2" t="s">
        <v>31</v>
      </c>
      <c r="C27" s="2" t="s">
        <v>54</v>
      </c>
      <c r="D27" s="2" t="s">
        <v>205</v>
      </c>
      <c r="E27" s="2" t="s">
        <v>206</v>
      </c>
      <c r="F27" s="2" t="s">
        <v>323</v>
      </c>
      <c r="G27" s="2" t="s">
        <v>423</v>
      </c>
      <c r="H27" s="2" t="s">
        <v>59</v>
      </c>
      <c r="I27" s="2" t="s">
        <v>60</v>
      </c>
      <c r="J27" s="2" t="s">
        <v>24</v>
      </c>
      <c r="K27" s="2" t="s">
        <v>25</v>
      </c>
      <c r="L27" s="2" t="s">
        <v>424</v>
      </c>
      <c r="M27" s="2" t="s">
        <v>27</v>
      </c>
      <c r="N27" s="2" t="s">
        <v>41</v>
      </c>
      <c r="O27" s="2" t="s">
        <v>42</v>
      </c>
      <c r="P27" s="2" t="s">
        <v>43</v>
      </c>
    </row>
    <row r="28" spans="1:16">
      <c r="A28" s="2" t="s">
        <v>425</v>
      </c>
      <c r="B28" s="2" t="s">
        <v>16</v>
      </c>
      <c r="C28" s="2" t="s">
        <v>207</v>
      </c>
      <c r="D28" s="2" t="s">
        <v>208</v>
      </c>
      <c r="E28" s="2" t="s">
        <v>209</v>
      </c>
      <c r="F28" s="2" t="s">
        <v>325</v>
      </c>
      <c r="G28" s="2" t="s">
        <v>426</v>
      </c>
      <c r="H28" s="2" t="s">
        <v>350</v>
      </c>
      <c r="I28" s="2" t="s">
        <v>117</v>
      </c>
      <c r="J28" s="2" t="s">
        <v>24</v>
      </c>
      <c r="K28" s="2" t="s">
        <v>50</v>
      </c>
      <c r="L28" s="2" t="s">
        <v>427</v>
      </c>
      <c r="M28" s="2" t="s">
        <v>62</v>
      </c>
      <c r="N28" s="2"/>
      <c r="O28" s="2"/>
      <c r="P28" s="2"/>
    </row>
    <row r="29" spans="1:16">
      <c r="A29" s="2" t="s">
        <v>428</v>
      </c>
      <c r="B29" s="2" t="s">
        <v>16</v>
      </c>
      <c r="C29" s="2" t="s">
        <v>17</v>
      </c>
      <c r="D29" s="2" t="s">
        <v>210</v>
      </c>
      <c r="E29" s="2" t="s">
        <v>211</v>
      </c>
      <c r="F29" s="2" t="s">
        <v>334</v>
      </c>
      <c r="G29" s="2" t="s">
        <v>370</v>
      </c>
      <c r="H29" s="2" t="s">
        <v>360</v>
      </c>
      <c r="I29" s="2" t="s">
        <v>129</v>
      </c>
      <c r="J29" s="2" t="s">
        <v>24</v>
      </c>
      <c r="K29" s="2" t="s">
        <v>50</v>
      </c>
      <c r="L29" s="2" t="s">
        <v>429</v>
      </c>
      <c r="M29" s="2" t="s">
        <v>27</v>
      </c>
      <c r="N29" s="2" t="s">
        <v>28</v>
      </c>
      <c r="O29" s="2" t="s">
        <v>73</v>
      </c>
      <c r="P29" s="2" t="s">
        <v>74</v>
      </c>
    </row>
    <row r="30" spans="1:16">
      <c r="A30" s="2" t="s">
        <v>430</v>
      </c>
      <c r="B30" s="2" t="s">
        <v>16</v>
      </c>
      <c r="C30" s="2" t="s">
        <v>212</v>
      </c>
      <c r="D30" s="2" t="s">
        <v>213</v>
      </c>
      <c r="E30" s="2" t="s">
        <v>214</v>
      </c>
      <c r="F30" s="2" t="s">
        <v>35</v>
      </c>
      <c r="G30" s="2" t="s">
        <v>431</v>
      </c>
      <c r="H30" s="2" t="s">
        <v>432</v>
      </c>
      <c r="I30" s="2" t="s">
        <v>215</v>
      </c>
      <c r="J30" s="2" t="s">
        <v>24</v>
      </c>
      <c r="K30" s="2" t="s">
        <v>47</v>
      </c>
      <c r="L30" s="2" t="s">
        <v>433</v>
      </c>
      <c r="M30" s="2" t="s">
        <v>27</v>
      </c>
      <c r="N30" s="2" t="s">
        <v>41</v>
      </c>
      <c r="O30" s="2" t="s">
        <v>67</v>
      </c>
      <c r="P30" s="2" t="s">
        <v>68</v>
      </c>
    </row>
    <row r="31" spans="1:16">
      <c r="A31" s="2" t="s">
        <v>434</v>
      </c>
      <c r="B31" s="2" t="s">
        <v>16</v>
      </c>
      <c r="C31" s="2" t="s">
        <v>17</v>
      </c>
      <c r="D31" s="2" t="s">
        <v>18</v>
      </c>
      <c r="E31" s="2" t="s">
        <v>216</v>
      </c>
      <c r="F31" s="2" t="s">
        <v>57</v>
      </c>
      <c r="G31" s="2" t="s">
        <v>435</v>
      </c>
      <c r="H31" s="2" t="s">
        <v>360</v>
      </c>
      <c r="I31" s="2" t="s">
        <v>129</v>
      </c>
      <c r="J31" s="2" t="s">
        <v>24</v>
      </c>
      <c r="K31" s="2" t="s">
        <v>90</v>
      </c>
      <c r="L31" s="2" t="s">
        <v>436</v>
      </c>
      <c r="M31" s="2" t="s">
        <v>62</v>
      </c>
      <c r="N31" s="2"/>
      <c r="O31" s="2"/>
      <c r="P31" s="2"/>
    </row>
    <row r="32" spans="1:16">
      <c r="A32" s="2" t="s">
        <v>437</v>
      </c>
      <c r="B32" s="2" t="s">
        <v>16</v>
      </c>
      <c r="C32" s="2" t="s">
        <v>17</v>
      </c>
      <c r="D32" s="2" t="s">
        <v>18</v>
      </c>
      <c r="E32" s="2" t="s">
        <v>44</v>
      </c>
      <c r="F32" s="2" t="s">
        <v>45</v>
      </c>
      <c r="G32" s="2" t="s">
        <v>46</v>
      </c>
      <c r="H32" s="2" t="s">
        <v>22</v>
      </c>
      <c r="I32" s="2" t="s">
        <v>23</v>
      </c>
      <c r="J32" s="2" t="s">
        <v>24</v>
      </c>
      <c r="K32" s="2" t="s">
        <v>47</v>
      </c>
      <c r="L32" s="2" t="s">
        <v>48</v>
      </c>
      <c r="M32" s="2" t="s">
        <v>27</v>
      </c>
      <c r="N32" s="2" t="s">
        <v>28</v>
      </c>
      <c r="O32" s="2" t="s">
        <v>29</v>
      </c>
      <c r="P32" s="2" t="s">
        <v>30</v>
      </c>
    </row>
    <row r="33" spans="1:16">
      <c r="A33" s="2" t="s">
        <v>438</v>
      </c>
      <c r="B33" s="2" t="s">
        <v>16</v>
      </c>
      <c r="C33" s="2" t="s">
        <v>109</v>
      </c>
      <c r="D33" s="2" t="s">
        <v>302</v>
      </c>
      <c r="E33" s="2" t="s">
        <v>217</v>
      </c>
      <c r="F33" s="2" t="s">
        <v>326</v>
      </c>
      <c r="G33" s="2" t="s">
        <v>439</v>
      </c>
      <c r="H33" s="2" t="s">
        <v>364</v>
      </c>
      <c r="I33" s="2" t="s">
        <v>136</v>
      </c>
      <c r="J33" s="2" t="s">
        <v>24</v>
      </c>
      <c r="K33" s="2" t="s">
        <v>50</v>
      </c>
      <c r="L33" s="2" t="s">
        <v>440</v>
      </c>
      <c r="M33" s="2" t="s">
        <v>27</v>
      </c>
      <c r="N33" s="2" t="s">
        <v>41</v>
      </c>
      <c r="O33" s="2" t="s">
        <v>73</v>
      </c>
      <c r="P33" s="2" t="s">
        <v>74</v>
      </c>
    </row>
    <row r="34" spans="1:16">
      <c r="A34" s="2" t="s">
        <v>441</v>
      </c>
      <c r="B34" s="2" t="s">
        <v>16</v>
      </c>
      <c r="C34" s="2" t="s">
        <v>113</v>
      </c>
      <c r="D34" s="2" t="s">
        <v>324</v>
      </c>
      <c r="E34" s="2" t="s">
        <v>218</v>
      </c>
      <c r="F34" s="2" t="s">
        <v>327</v>
      </c>
      <c r="G34" s="2" t="s">
        <v>442</v>
      </c>
      <c r="H34" s="2" t="s">
        <v>368</v>
      </c>
      <c r="I34" s="2" t="s">
        <v>306</v>
      </c>
      <c r="J34" s="2" t="s">
        <v>24</v>
      </c>
      <c r="K34" s="2" t="s">
        <v>39</v>
      </c>
      <c r="L34" s="2" t="s">
        <v>443</v>
      </c>
      <c r="M34" s="2" t="s">
        <v>62</v>
      </c>
      <c r="N34" s="2"/>
      <c r="O34" s="2"/>
      <c r="P34" s="2"/>
    </row>
    <row r="35" spans="1:16">
      <c r="A35" s="2" t="s">
        <v>444</v>
      </c>
      <c r="B35" s="2" t="s">
        <v>16</v>
      </c>
      <c r="C35" s="2" t="s">
        <v>118</v>
      </c>
      <c r="D35" s="2" t="s">
        <v>119</v>
      </c>
      <c r="E35" s="2" t="s">
        <v>219</v>
      </c>
      <c r="F35" s="2" t="s">
        <v>20</v>
      </c>
      <c r="G35" s="2" t="s">
        <v>445</v>
      </c>
      <c r="H35" s="2" t="s">
        <v>372</v>
      </c>
      <c r="I35" s="2" t="s">
        <v>145</v>
      </c>
      <c r="J35" s="2" t="s">
        <v>24</v>
      </c>
      <c r="K35" s="2" t="s">
        <v>47</v>
      </c>
      <c r="L35" s="2" t="s">
        <v>446</v>
      </c>
      <c r="M35" s="2" t="s">
        <v>27</v>
      </c>
      <c r="N35" s="2" t="s">
        <v>28</v>
      </c>
      <c r="O35" s="2" t="s">
        <v>42</v>
      </c>
      <c r="P35" s="2" t="s">
        <v>43</v>
      </c>
    </row>
    <row r="36" spans="1:16">
      <c r="A36" s="2" t="s">
        <v>447</v>
      </c>
      <c r="B36" s="2" t="s">
        <v>16</v>
      </c>
      <c r="C36" s="2" t="s">
        <v>220</v>
      </c>
      <c r="D36" s="2" t="s">
        <v>221</v>
      </c>
      <c r="E36" s="2" t="s">
        <v>222</v>
      </c>
      <c r="F36" s="2" t="s">
        <v>328</v>
      </c>
      <c r="G36" s="2" t="s">
        <v>448</v>
      </c>
      <c r="H36" s="2" t="s">
        <v>376</v>
      </c>
      <c r="I36" s="2" t="s">
        <v>308</v>
      </c>
      <c r="J36" s="2" t="s">
        <v>24</v>
      </c>
      <c r="K36" s="2" t="s">
        <v>90</v>
      </c>
      <c r="L36" s="2" t="s">
        <v>449</v>
      </c>
      <c r="M36" s="2" t="s">
        <v>27</v>
      </c>
      <c r="N36" s="2" t="s">
        <v>41</v>
      </c>
      <c r="O36" s="2" t="s">
        <v>29</v>
      </c>
      <c r="P36" s="2" t="s">
        <v>30</v>
      </c>
    </row>
    <row r="37" spans="1:16">
      <c r="A37" s="2" t="s">
        <v>450</v>
      </c>
      <c r="B37" s="2" t="s">
        <v>16</v>
      </c>
      <c r="C37" s="2" t="s">
        <v>125</v>
      </c>
      <c r="D37" s="2" t="s">
        <v>304</v>
      </c>
      <c r="E37" s="2" t="s">
        <v>223</v>
      </c>
      <c r="F37" s="2" t="s">
        <v>329</v>
      </c>
      <c r="G37" s="2" t="s">
        <v>451</v>
      </c>
      <c r="H37" s="2" t="s">
        <v>379</v>
      </c>
      <c r="I37" s="2" t="s">
        <v>155</v>
      </c>
      <c r="J37" s="2" t="s">
        <v>24</v>
      </c>
      <c r="K37" s="2" t="s">
        <v>25</v>
      </c>
      <c r="L37" s="2" t="s">
        <v>452</v>
      </c>
      <c r="M37" s="2" t="s">
        <v>62</v>
      </c>
      <c r="N37" s="2"/>
      <c r="O37" s="2"/>
      <c r="P37" s="2"/>
    </row>
    <row r="38" spans="1:16">
      <c r="A38" s="2" t="s">
        <v>453</v>
      </c>
      <c r="B38" s="2" t="s">
        <v>16</v>
      </c>
      <c r="C38" s="2" t="s">
        <v>83</v>
      </c>
      <c r="D38" s="2" t="s">
        <v>84</v>
      </c>
      <c r="E38" s="2" t="s">
        <v>85</v>
      </c>
      <c r="F38" s="2" t="s">
        <v>317</v>
      </c>
      <c r="G38" s="2" t="s">
        <v>124</v>
      </c>
      <c r="H38" s="2" t="s">
        <v>88</v>
      </c>
      <c r="I38" s="2" t="s">
        <v>89</v>
      </c>
      <c r="J38" s="2" t="s">
        <v>24</v>
      </c>
      <c r="K38" s="2" t="s">
        <v>39</v>
      </c>
      <c r="L38" s="2" t="s">
        <v>454</v>
      </c>
      <c r="M38" s="2" t="s">
        <v>27</v>
      </c>
      <c r="N38" s="2" t="s">
        <v>28</v>
      </c>
      <c r="O38" s="2" t="s">
        <v>67</v>
      </c>
      <c r="P38" s="2" t="s">
        <v>68</v>
      </c>
    </row>
    <row r="39" spans="1:16">
      <c r="A39" s="2" t="s">
        <v>455</v>
      </c>
      <c r="B39" s="2" t="s">
        <v>16</v>
      </c>
      <c r="C39" s="2" t="s">
        <v>132</v>
      </c>
      <c r="D39" s="2" t="s">
        <v>133</v>
      </c>
      <c r="E39" s="2" t="s">
        <v>225</v>
      </c>
      <c r="F39" s="2" t="s">
        <v>318</v>
      </c>
      <c r="G39" s="2" t="s">
        <v>456</v>
      </c>
      <c r="H39" s="2" t="s">
        <v>457</v>
      </c>
      <c r="I39" s="2" t="s">
        <v>319</v>
      </c>
      <c r="J39" s="2" t="s">
        <v>24</v>
      </c>
      <c r="K39" s="2" t="s">
        <v>39</v>
      </c>
      <c r="L39" s="2" t="s">
        <v>458</v>
      </c>
      <c r="M39" s="2" t="s">
        <v>27</v>
      </c>
      <c r="N39" s="2" t="s">
        <v>41</v>
      </c>
      <c r="O39" s="2" t="s">
        <v>42</v>
      </c>
      <c r="P39" s="2" t="s">
        <v>43</v>
      </c>
    </row>
    <row r="40" spans="1:16">
      <c r="A40" s="2" t="s">
        <v>459</v>
      </c>
      <c r="B40" s="2" t="s">
        <v>31</v>
      </c>
      <c r="C40" s="2" t="s">
        <v>137</v>
      </c>
      <c r="D40" s="2" t="s">
        <v>305</v>
      </c>
      <c r="E40" s="2" t="s">
        <v>228</v>
      </c>
      <c r="F40" s="2" t="s">
        <v>331</v>
      </c>
      <c r="G40" s="2" t="s">
        <v>460</v>
      </c>
      <c r="H40" s="2" t="s">
        <v>387</v>
      </c>
      <c r="I40" s="2" t="s">
        <v>311</v>
      </c>
      <c r="J40" s="2" t="s">
        <v>24</v>
      </c>
      <c r="K40" s="2" t="s">
        <v>47</v>
      </c>
      <c r="L40" s="2" t="s">
        <v>461</v>
      </c>
      <c r="M40" s="2" t="s">
        <v>62</v>
      </c>
      <c r="N40" s="2"/>
      <c r="O40" s="2"/>
      <c r="P40" s="2"/>
    </row>
    <row r="41" spans="1:16">
      <c r="A41" s="2" t="s">
        <v>462</v>
      </c>
      <c r="B41" s="2" t="s">
        <v>16</v>
      </c>
      <c r="C41" s="2" t="s">
        <v>142</v>
      </c>
      <c r="D41" s="2" t="s">
        <v>307</v>
      </c>
      <c r="E41" s="2" t="s">
        <v>229</v>
      </c>
      <c r="F41" s="2" t="s">
        <v>332</v>
      </c>
      <c r="G41" s="2" t="s">
        <v>463</v>
      </c>
      <c r="H41" s="2" t="s">
        <v>391</v>
      </c>
      <c r="I41" s="2" t="s">
        <v>169</v>
      </c>
      <c r="J41" s="2" t="s">
        <v>24</v>
      </c>
      <c r="K41" s="2" t="s">
        <v>90</v>
      </c>
      <c r="L41" s="2" t="s">
        <v>464</v>
      </c>
      <c r="M41" s="2" t="s">
        <v>27</v>
      </c>
      <c r="N41" s="2" t="s">
        <v>28</v>
      </c>
      <c r="O41" s="2" t="s">
        <v>73</v>
      </c>
      <c r="P41" s="2" t="s">
        <v>74</v>
      </c>
    </row>
    <row r="42" spans="1:16">
      <c r="A42" s="2" t="s">
        <v>465</v>
      </c>
      <c r="B42" s="2" t="s">
        <v>16</v>
      </c>
      <c r="C42" s="2" t="s">
        <v>146</v>
      </c>
      <c r="D42" s="2" t="s">
        <v>33</v>
      </c>
      <c r="E42" s="2" t="s">
        <v>230</v>
      </c>
      <c r="F42" s="2" t="s">
        <v>333</v>
      </c>
      <c r="G42" s="2" t="s">
        <v>466</v>
      </c>
      <c r="H42" s="2" t="s">
        <v>395</v>
      </c>
      <c r="I42" s="2" t="s">
        <v>173</v>
      </c>
      <c r="J42" s="2" t="s">
        <v>24</v>
      </c>
      <c r="K42" s="2" t="s">
        <v>25</v>
      </c>
      <c r="L42" s="2" t="s">
        <v>467</v>
      </c>
      <c r="M42" s="2" t="s">
        <v>27</v>
      </c>
      <c r="N42" s="2" t="s">
        <v>41</v>
      </c>
      <c r="O42" s="2" t="s">
        <v>67</v>
      </c>
      <c r="P42" s="2" t="s">
        <v>68</v>
      </c>
    </row>
    <row r="43" spans="1:16">
      <c r="A43" s="2" t="s">
        <v>468</v>
      </c>
      <c r="B43" s="2" t="s">
        <v>16</v>
      </c>
      <c r="C43" s="2" t="s">
        <v>151</v>
      </c>
      <c r="D43" s="2" t="s">
        <v>152</v>
      </c>
      <c r="E43" s="2" t="s">
        <v>231</v>
      </c>
      <c r="F43" s="2" t="s">
        <v>334</v>
      </c>
      <c r="G43" s="2" t="s">
        <v>469</v>
      </c>
      <c r="H43" s="2" t="s">
        <v>398</v>
      </c>
      <c r="I43" s="2" t="s">
        <v>178</v>
      </c>
      <c r="J43" s="2" t="s">
        <v>24</v>
      </c>
      <c r="K43" s="2" t="s">
        <v>50</v>
      </c>
      <c r="L43" s="2" t="s">
        <v>470</v>
      </c>
      <c r="M43" s="2" t="s">
        <v>62</v>
      </c>
      <c r="N43" s="2"/>
      <c r="O43" s="2"/>
      <c r="P43" s="2"/>
    </row>
    <row r="44" spans="1:16">
      <c r="A44" s="2" t="s">
        <v>471</v>
      </c>
      <c r="B44" s="2" t="s">
        <v>16</v>
      </c>
      <c r="C44" s="2" t="s">
        <v>32</v>
      </c>
      <c r="D44" s="2" t="s">
        <v>309</v>
      </c>
      <c r="E44" s="2" t="s">
        <v>232</v>
      </c>
      <c r="F44" s="2" t="s">
        <v>338</v>
      </c>
      <c r="G44" s="2" t="s">
        <v>472</v>
      </c>
      <c r="H44" s="2" t="s">
        <v>473</v>
      </c>
      <c r="I44" s="2" t="s">
        <v>234</v>
      </c>
      <c r="J44" s="2" t="s">
        <v>24</v>
      </c>
      <c r="K44" s="2" t="s">
        <v>39</v>
      </c>
      <c r="L44" s="2" t="s">
        <v>474</v>
      </c>
      <c r="M44" s="2" t="s">
        <v>27</v>
      </c>
      <c r="N44" s="2" t="s">
        <v>28</v>
      </c>
      <c r="O44" s="2" t="s">
        <v>29</v>
      </c>
      <c r="P44" s="2" t="s">
        <v>30</v>
      </c>
    </row>
    <row r="45" spans="1:16">
      <c r="A45" s="2" t="s">
        <v>475</v>
      </c>
      <c r="B45" s="2" t="s">
        <v>16</v>
      </c>
      <c r="C45" s="2" t="s">
        <v>75</v>
      </c>
      <c r="D45" s="2" t="s">
        <v>339</v>
      </c>
      <c r="E45" s="2" t="s">
        <v>236</v>
      </c>
      <c r="F45" s="2" t="s">
        <v>335</v>
      </c>
      <c r="G45" s="2" t="s">
        <v>476</v>
      </c>
      <c r="H45" s="2" t="s">
        <v>404</v>
      </c>
      <c r="I45" s="2" t="s">
        <v>313</v>
      </c>
      <c r="J45" s="2" t="s">
        <v>24</v>
      </c>
      <c r="K45" s="2" t="s">
        <v>47</v>
      </c>
      <c r="L45" s="2" t="s">
        <v>477</v>
      </c>
      <c r="M45" s="2" t="s">
        <v>27</v>
      </c>
      <c r="N45" s="2" t="s">
        <v>41</v>
      </c>
      <c r="O45" s="2" t="s">
        <v>73</v>
      </c>
      <c r="P45" s="2" t="s">
        <v>74</v>
      </c>
    </row>
    <row r="46" spans="1:16">
      <c r="A46" s="2" t="s">
        <v>478</v>
      </c>
      <c r="B46" s="2" t="s">
        <v>16</v>
      </c>
      <c r="C46" s="2" t="s">
        <v>160</v>
      </c>
      <c r="D46" s="2" t="s">
        <v>310</v>
      </c>
      <c r="E46" s="2" t="s">
        <v>237</v>
      </c>
      <c r="F46" s="2" t="s">
        <v>336</v>
      </c>
      <c r="G46" s="2" t="s">
        <v>479</v>
      </c>
      <c r="H46" s="2" t="s">
        <v>88</v>
      </c>
      <c r="I46" s="2" t="s">
        <v>89</v>
      </c>
      <c r="J46" s="2" t="s">
        <v>24</v>
      </c>
      <c r="K46" s="2" t="s">
        <v>90</v>
      </c>
      <c r="L46" s="2" t="s">
        <v>480</v>
      </c>
      <c r="M46" s="2" t="s">
        <v>62</v>
      </c>
      <c r="N46" s="2"/>
      <c r="O46" s="2"/>
      <c r="P46" s="2"/>
    </row>
    <row r="47" spans="1:16">
      <c r="A47" s="2" t="s">
        <v>481</v>
      </c>
      <c r="B47" s="2" t="s">
        <v>16</v>
      </c>
      <c r="C47" s="2" t="s">
        <v>165</v>
      </c>
      <c r="D47" s="2" t="s">
        <v>166</v>
      </c>
      <c r="E47" s="2" t="s">
        <v>238</v>
      </c>
      <c r="F47" s="2" t="s">
        <v>337</v>
      </c>
      <c r="G47" s="2" t="s">
        <v>482</v>
      </c>
      <c r="H47" s="2" t="s">
        <v>410</v>
      </c>
      <c r="I47" s="2" t="s">
        <v>315</v>
      </c>
      <c r="J47" s="2" t="s">
        <v>24</v>
      </c>
      <c r="K47" s="2" t="s">
        <v>25</v>
      </c>
      <c r="L47" s="2" t="s">
        <v>483</v>
      </c>
      <c r="M47" s="2" t="s">
        <v>27</v>
      </c>
      <c r="N47" s="2" t="s">
        <v>28</v>
      </c>
      <c r="O47" s="2" t="s">
        <v>42</v>
      </c>
      <c r="P47" s="2" t="s">
        <v>43</v>
      </c>
    </row>
    <row r="48" spans="1:16">
      <c r="A48" s="2" t="s">
        <v>484</v>
      </c>
      <c r="B48" s="2" t="s">
        <v>16</v>
      </c>
      <c r="C48" s="2" t="s">
        <v>170</v>
      </c>
      <c r="D48" s="2" t="s">
        <v>84</v>
      </c>
      <c r="E48" s="2" t="s">
        <v>239</v>
      </c>
      <c r="F48" s="2" t="s">
        <v>86</v>
      </c>
      <c r="G48" s="2" t="s">
        <v>485</v>
      </c>
      <c r="H48" s="2" t="s">
        <v>414</v>
      </c>
      <c r="I48" s="2" t="s">
        <v>197</v>
      </c>
      <c r="J48" s="2" t="s">
        <v>24</v>
      </c>
      <c r="K48" s="2" t="s">
        <v>50</v>
      </c>
      <c r="L48" s="2" t="s">
        <v>486</v>
      </c>
      <c r="M48" s="2" t="s">
        <v>27</v>
      </c>
      <c r="N48" s="2" t="s">
        <v>41</v>
      </c>
      <c r="O48" s="2" t="s">
        <v>29</v>
      </c>
      <c r="P48" s="2" t="s">
        <v>30</v>
      </c>
    </row>
    <row r="49" spans="1:16">
      <c r="A49" s="2" t="s">
        <v>487</v>
      </c>
      <c r="B49" s="2" t="s">
        <v>16</v>
      </c>
      <c r="C49" s="2" t="s">
        <v>174</v>
      </c>
      <c r="D49" s="2" t="s">
        <v>175</v>
      </c>
      <c r="E49" s="2" t="s">
        <v>240</v>
      </c>
      <c r="F49" s="2" t="s">
        <v>45</v>
      </c>
      <c r="G49" s="2" t="s">
        <v>488</v>
      </c>
      <c r="H49" s="2" t="s">
        <v>22</v>
      </c>
      <c r="I49" s="2" t="s">
        <v>23</v>
      </c>
      <c r="J49" s="2" t="s">
        <v>24</v>
      </c>
      <c r="K49" s="2" t="s">
        <v>39</v>
      </c>
      <c r="L49" s="2" t="s">
        <v>489</v>
      </c>
      <c r="M49" s="2" t="s">
        <v>62</v>
      </c>
      <c r="N49" s="2"/>
      <c r="O49" s="2"/>
      <c r="P49" s="2"/>
    </row>
    <row r="50" spans="1:16">
      <c r="A50" s="2" t="s">
        <v>490</v>
      </c>
      <c r="B50" s="2" t="s">
        <v>16</v>
      </c>
      <c r="C50" s="2" t="s">
        <v>241</v>
      </c>
      <c r="D50" s="2" t="s">
        <v>242</v>
      </c>
      <c r="E50" s="2" t="s">
        <v>243</v>
      </c>
      <c r="F50" s="2" t="s">
        <v>322</v>
      </c>
      <c r="G50" s="2" t="s">
        <v>491</v>
      </c>
      <c r="H50" s="2" t="s">
        <v>343</v>
      </c>
      <c r="I50" s="2" t="s">
        <v>108</v>
      </c>
      <c r="J50" s="2" t="s">
        <v>24</v>
      </c>
      <c r="K50" s="2" t="s">
        <v>47</v>
      </c>
      <c r="L50" s="2" t="s">
        <v>492</v>
      </c>
      <c r="M50" s="2" t="s">
        <v>27</v>
      </c>
      <c r="N50" s="2" t="s">
        <v>28</v>
      </c>
      <c r="O50" s="2" t="s">
        <v>67</v>
      </c>
      <c r="P50" s="2" t="s">
        <v>68</v>
      </c>
    </row>
    <row r="51" spans="1:16">
      <c r="A51" s="2" t="s">
        <v>493</v>
      </c>
      <c r="B51" s="2" t="s">
        <v>16</v>
      </c>
      <c r="C51" s="2" t="s">
        <v>180</v>
      </c>
      <c r="D51" s="2" t="s">
        <v>181</v>
      </c>
      <c r="E51" s="2" t="s">
        <v>244</v>
      </c>
      <c r="F51" s="2" t="s">
        <v>323</v>
      </c>
      <c r="G51" s="2" t="s">
        <v>494</v>
      </c>
      <c r="H51" s="2" t="s">
        <v>59</v>
      </c>
      <c r="I51" s="2" t="s">
        <v>60</v>
      </c>
      <c r="J51" s="2" t="s">
        <v>24</v>
      </c>
      <c r="K51" s="2" t="s">
        <v>90</v>
      </c>
      <c r="L51" s="2" t="s">
        <v>495</v>
      </c>
      <c r="M51" s="2" t="s">
        <v>27</v>
      </c>
      <c r="N51" s="2" t="s">
        <v>41</v>
      </c>
      <c r="O51" s="2" t="s">
        <v>42</v>
      </c>
      <c r="P51" s="2" t="s">
        <v>43</v>
      </c>
    </row>
    <row r="52" spans="1:16">
      <c r="A52" s="2" t="s">
        <v>496</v>
      </c>
      <c r="B52" s="2" t="s">
        <v>16</v>
      </c>
      <c r="C52" s="2" t="s">
        <v>185</v>
      </c>
      <c r="D52" s="2" t="s">
        <v>314</v>
      </c>
      <c r="E52" s="2" t="s">
        <v>245</v>
      </c>
      <c r="F52" s="2" t="s">
        <v>325</v>
      </c>
      <c r="G52" s="2" t="s">
        <v>497</v>
      </c>
      <c r="H52" s="2" t="s">
        <v>350</v>
      </c>
      <c r="I52" s="2" t="s">
        <v>117</v>
      </c>
      <c r="J52" s="2" t="s">
        <v>24</v>
      </c>
      <c r="K52" s="2" t="s">
        <v>25</v>
      </c>
      <c r="L52" s="2" t="s">
        <v>498</v>
      </c>
      <c r="M52" s="2" t="s">
        <v>62</v>
      </c>
      <c r="N52" s="2"/>
      <c r="O52" s="2"/>
      <c r="P52" s="2"/>
    </row>
    <row r="53" spans="1:16">
      <c r="A53" s="2" t="s">
        <v>499</v>
      </c>
      <c r="B53" s="2" t="s">
        <v>31</v>
      </c>
      <c r="C53" s="2" t="s">
        <v>189</v>
      </c>
      <c r="D53" s="2" t="s">
        <v>55</v>
      </c>
      <c r="E53" s="2" t="s">
        <v>246</v>
      </c>
      <c r="F53" s="2" t="s">
        <v>95</v>
      </c>
      <c r="G53" s="2" t="s">
        <v>500</v>
      </c>
      <c r="H53" s="2" t="s">
        <v>354</v>
      </c>
      <c r="I53" s="2" t="s">
        <v>303</v>
      </c>
      <c r="J53" s="2" t="s">
        <v>24</v>
      </c>
      <c r="K53" s="2" t="s">
        <v>50</v>
      </c>
      <c r="L53" s="2" t="s">
        <v>501</v>
      </c>
      <c r="M53" s="2" t="s">
        <v>27</v>
      </c>
      <c r="N53" s="2" t="s">
        <v>28</v>
      </c>
      <c r="O53" s="2" t="s">
        <v>73</v>
      </c>
      <c r="P53" s="2" t="s">
        <v>74</v>
      </c>
    </row>
    <row r="54" spans="1:16">
      <c r="A54" s="2" t="s">
        <v>502</v>
      </c>
      <c r="B54" s="2" t="s">
        <v>16</v>
      </c>
      <c r="C54" s="2" t="s">
        <v>194</v>
      </c>
      <c r="D54" s="2" t="s">
        <v>195</v>
      </c>
      <c r="E54" s="2" t="s">
        <v>247</v>
      </c>
      <c r="F54" s="2" t="s">
        <v>35</v>
      </c>
      <c r="G54" s="2" t="s">
        <v>503</v>
      </c>
      <c r="H54" s="2" t="s">
        <v>432</v>
      </c>
      <c r="I54" s="2" t="s">
        <v>215</v>
      </c>
      <c r="J54" s="2" t="s">
        <v>24</v>
      </c>
      <c r="K54" s="2" t="s">
        <v>39</v>
      </c>
      <c r="L54" s="2" t="s">
        <v>504</v>
      </c>
      <c r="M54" s="2" t="s">
        <v>27</v>
      </c>
      <c r="N54" s="2" t="s">
        <v>41</v>
      </c>
      <c r="O54" s="2" t="s">
        <v>67</v>
      </c>
      <c r="P54" s="2" t="s">
        <v>68</v>
      </c>
    </row>
    <row r="55" spans="1:16">
      <c r="A55" s="2" t="s">
        <v>505</v>
      </c>
      <c r="B55" s="2" t="s">
        <v>16</v>
      </c>
      <c r="C55" s="2" t="s">
        <v>198</v>
      </c>
      <c r="D55" s="2" t="s">
        <v>199</v>
      </c>
      <c r="E55" s="2" t="s">
        <v>248</v>
      </c>
      <c r="F55" s="2" t="s">
        <v>57</v>
      </c>
      <c r="G55" s="2" t="s">
        <v>506</v>
      </c>
      <c r="H55" s="2" t="s">
        <v>360</v>
      </c>
      <c r="I55" s="2" t="s">
        <v>129</v>
      </c>
      <c r="J55" s="2" t="s">
        <v>24</v>
      </c>
      <c r="K55" s="2" t="s">
        <v>47</v>
      </c>
      <c r="L55" s="2" t="s">
        <v>507</v>
      </c>
      <c r="M55" s="2" t="s">
        <v>62</v>
      </c>
      <c r="N55" s="2"/>
      <c r="O55" s="2"/>
      <c r="P55" s="2"/>
    </row>
    <row r="56" spans="1:16">
      <c r="A56" s="2" t="s">
        <v>508</v>
      </c>
      <c r="B56" s="2" t="s">
        <v>16</v>
      </c>
      <c r="C56" s="2" t="s">
        <v>202</v>
      </c>
      <c r="D56" s="2" t="s">
        <v>316</v>
      </c>
      <c r="E56" s="2" t="s">
        <v>249</v>
      </c>
      <c r="F56" s="2" t="s">
        <v>340</v>
      </c>
      <c r="G56" s="2" t="s">
        <v>509</v>
      </c>
      <c r="H56" s="2" t="s">
        <v>510</v>
      </c>
      <c r="I56" s="2" t="s">
        <v>251</v>
      </c>
      <c r="J56" s="2" t="s">
        <v>24</v>
      </c>
      <c r="K56" s="2" t="s">
        <v>90</v>
      </c>
      <c r="L56" s="2" t="s">
        <v>511</v>
      </c>
      <c r="M56" s="2" t="s">
        <v>27</v>
      </c>
      <c r="N56" s="2" t="s">
        <v>28</v>
      </c>
      <c r="O56" s="2" t="s">
        <v>29</v>
      </c>
      <c r="P56" s="2" t="s">
        <v>30</v>
      </c>
    </row>
    <row r="57" spans="1:16">
      <c r="A57" s="2" t="s">
        <v>512</v>
      </c>
      <c r="B57" s="2" t="s">
        <v>16</v>
      </c>
      <c r="C57" s="2" t="s">
        <v>54</v>
      </c>
      <c r="D57" s="2" t="s">
        <v>205</v>
      </c>
      <c r="E57" s="2" t="s">
        <v>252</v>
      </c>
      <c r="F57" s="2" t="s">
        <v>326</v>
      </c>
      <c r="G57" s="2" t="s">
        <v>513</v>
      </c>
      <c r="H57" s="2" t="s">
        <v>364</v>
      </c>
      <c r="I57" s="2" t="s">
        <v>136</v>
      </c>
      <c r="J57" s="2" t="s">
        <v>24</v>
      </c>
      <c r="K57" s="2" t="s">
        <v>25</v>
      </c>
      <c r="L57" s="2" t="s">
        <v>514</v>
      </c>
      <c r="M57" s="2" t="s">
        <v>27</v>
      </c>
      <c r="N57" s="2" t="s">
        <v>41</v>
      </c>
      <c r="O57" s="2" t="s">
        <v>73</v>
      </c>
      <c r="P57" s="2" t="s">
        <v>74</v>
      </c>
    </row>
    <row r="58" spans="1:16">
      <c r="A58" s="2" t="s">
        <v>515</v>
      </c>
      <c r="B58" s="2" t="s">
        <v>16</v>
      </c>
      <c r="C58" s="2" t="s">
        <v>207</v>
      </c>
      <c r="D58" s="2" t="s">
        <v>208</v>
      </c>
      <c r="E58" s="2" t="s">
        <v>253</v>
      </c>
      <c r="F58" s="2" t="s">
        <v>327</v>
      </c>
      <c r="G58" s="2" t="s">
        <v>516</v>
      </c>
      <c r="H58" s="2" t="s">
        <v>368</v>
      </c>
      <c r="I58" s="2" t="s">
        <v>306</v>
      </c>
      <c r="J58" s="2" t="s">
        <v>24</v>
      </c>
      <c r="K58" s="2" t="s">
        <v>50</v>
      </c>
      <c r="L58" s="2" t="s">
        <v>517</v>
      </c>
      <c r="M58" s="2" t="s">
        <v>62</v>
      </c>
      <c r="N58" s="2"/>
      <c r="O58" s="2"/>
      <c r="P58" s="2"/>
    </row>
    <row r="59" spans="1:16">
      <c r="A59" s="2" t="s">
        <v>518</v>
      </c>
      <c r="B59" s="2" t="s">
        <v>16</v>
      </c>
      <c r="C59" s="2" t="s">
        <v>254</v>
      </c>
      <c r="D59" s="2" t="s">
        <v>76</v>
      </c>
      <c r="E59" s="2" t="s">
        <v>256</v>
      </c>
      <c r="F59" s="2" t="s">
        <v>20</v>
      </c>
      <c r="G59" s="2" t="s">
        <v>519</v>
      </c>
      <c r="H59" s="2" t="s">
        <v>372</v>
      </c>
      <c r="I59" s="2" t="s">
        <v>145</v>
      </c>
      <c r="J59" s="2" t="s">
        <v>24</v>
      </c>
      <c r="K59" s="2" t="s">
        <v>39</v>
      </c>
      <c r="L59" s="2" t="s">
        <v>520</v>
      </c>
      <c r="M59" s="2" t="s">
        <v>27</v>
      </c>
      <c r="N59" s="2" t="s">
        <v>28</v>
      </c>
      <c r="O59" s="2" t="s">
        <v>42</v>
      </c>
      <c r="P59" s="2" t="s">
        <v>43</v>
      </c>
    </row>
    <row r="60" spans="1:16">
      <c r="A60" s="2" t="s">
        <v>521</v>
      </c>
      <c r="B60" s="2" t="s">
        <v>16</v>
      </c>
      <c r="C60" s="2" t="s">
        <v>212</v>
      </c>
      <c r="D60" s="2" t="s">
        <v>213</v>
      </c>
      <c r="E60" s="2" t="s">
        <v>257</v>
      </c>
      <c r="F60" s="2" t="s">
        <v>328</v>
      </c>
      <c r="G60" s="2" t="s">
        <v>522</v>
      </c>
      <c r="H60" s="2" t="s">
        <v>376</v>
      </c>
      <c r="I60" s="2" t="s">
        <v>308</v>
      </c>
      <c r="J60" s="2" t="s">
        <v>24</v>
      </c>
      <c r="K60" s="2" t="s">
        <v>47</v>
      </c>
      <c r="L60" s="2" t="s">
        <v>523</v>
      </c>
      <c r="M60" s="2" t="s">
        <v>27</v>
      </c>
      <c r="N60" s="2" t="s">
        <v>41</v>
      </c>
      <c r="O60" s="2" t="s">
        <v>29</v>
      </c>
      <c r="P60" s="2" t="s">
        <v>30</v>
      </c>
    </row>
    <row r="61" spans="1:16">
      <c r="A61" s="2" t="s">
        <v>524</v>
      </c>
      <c r="B61" s="2" t="s">
        <v>16</v>
      </c>
      <c r="C61" s="2" t="s">
        <v>17</v>
      </c>
      <c r="D61" s="2" t="s">
        <v>18</v>
      </c>
      <c r="E61" s="2" t="s">
        <v>258</v>
      </c>
      <c r="F61" s="2" t="s">
        <v>329</v>
      </c>
      <c r="G61" s="2" t="s">
        <v>525</v>
      </c>
      <c r="H61" s="2" t="s">
        <v>379</v>
      </c>
      <c r="I61" s="2" t="s">
        <v>155</v>
      </c>
      <c r="J61" s="2" t="s">
        <v>24</v>
      </c>
      <c r="K61" s="2" t="s">
        <v>90</v>
      </c>
      <c r="L61" s="2" t="s">
        <v>526</v>
      </c>
      <c r="M61" s="2" t="s">
        <v>62</v>
      </c>
      <c r="N61" s="2"/>
      <c r="O61" s="2"/>
      <c r="P61" s="2"/>
    </row>
    <row r="62" spans="1:16">
      <c r="A62" s="2" t="s">
        <v>527</v>
      </c>
      <c r="B62" s="2" t="s">
        <v>16</v>
      </c>
      <c r="C62" s="2" t="s">
        <v>83</v>
      </c>
      <c r="D62" s="2" t="s">
        <v>105</v>
      </c>
      <c r="E62" s="2" t="s">
        <v>259</v>
      </c>
      <c r="F62" s="2" t="s">
        <v>330</v>
      </c>
      <c r="G62" s="2" t="s">
        <v>528</v>
      </c>
      <c r="H62" s="2" t="s">
        <v>37</v>
      </c>
      <c r="I62" s="2" t="s">
        <v>38</v>
      </c>
      <c r="J62" s="2" t="s">
        <v>24</v>
      </c>
      <c r="K62" s="2" t="s">
        <v>25</v>
      </c>
      <c r="L62" s="2" t="s">
        <v>529</v>
      </c>
      <c r="M62" s="2" t="s">
        <v>27</v>
      </c>
      <c r="N62" s="2" t="s">
        <v>28</v>
      </c>
      <c r="O62" s="2" t="s">
        <v>67</v>
      </c>
      <c r="P62" s="2" t="s">
        <v>68</v>
      </c>
    </row>
    <row r="63" spans="1:16">
      <c r="A63" s="2" t="s">
        <v>530</v>
      </c>
      <c r="B63" s="2" t="s">
        <v>16</v>
      </c>
      <c r="C63" s="2" t="s">
        <v>109</v>
      </c>
      <c r="D63" s="2" t="s">
        <v>302</v>
      </c>
      <c r="E63" s="2" t="s">
        <v>260</v>
      </c>
      <c r="F63" s="2" t="s">
        <v>318</v>
      </c>
      <c r="G63" s="2" t="s">
        <v>531</v>
      </c>
      <c r="H63" s="2" t="s">
        <v>457</v>
      </c>
      <c r="I63" s="2" t="s">
        <v>319</v>
      </c>
      <c r="J63" s="2" t="s">
        <v>24</v>
      </c>
      <c r="K63" s="2" t="s">
        <v>50</v>
      </c>
      <c r="L63" s="2" t="s">
        <v>532</v>
      </c>
      <c r="M63" s="2" t="s">
        <v>27</v>
      </c>
      <c r="N63" s="2" t="s">
        <v>41</v>
      </c>
      <c r="O63" s="2" t="s">
        <v>42</v>
      </c>
      <c r="P63" s="2" t="s">
        <v>43</v>
      </c>
    </row>
    <row r="64" spans="1:16">
      <c r="A64" s="2" t="s">
        <v>533</v>
      </c>
      <c r="B64" s="2" t="s">
        <v>16</v>
      </c>
      <c r="C64" s="2" t="s">
        <v>83</v>
      </c>
      <c r="D64" s="2" t="s">
        <v>84</v>
      </c>
      <c r="E64" s="2" t="s">
        <v>85</v>
      </c>
      <c r="F64" s="2" t="s">
        <v>320</v>
      </c>
      <c r="G64" s="2" t="s">
        <v>124</v>
      </c>
      <c r="H64" s="2" t="s">
        <v>88</v>
      </c>
      <c r="I64" s="2" t="s">
        <v>89</v>
      </c>
      <c r="J64" s="2" t="s">
        <v>24</v>
      </c>
      <c r="K64" s="2" t="s">
        <v>47</v>
      </c>
      <c r="L64" s="2" t="s">
        <v>534</v>
      </c>
      <c r="M64" s="2" t="s">
        <v>62</v>
      </c>
      <c r="N64" s="2"/>
      <c r="O64" s="2"/>
      <c r="P64" s="2"/>
    </row>
    <row r="65" spans="1:16">
      <c r="A65" s="2" t="s">
        <v>535</v>
      </c>
      <c r="B65" s="2" t="s">
        <v>16</v>
      </c>
      <c r="C65" s="2" t="s">
        <v>118</v>
      </c>
      <c r="D65" s="2" t="s">
        <v>119</v>
      </c>
      <c r="E65" s="2" t="s">
        <v>262</v>
      </c>
      <c r="F65" s="2" t="s">
        <v>332</v>
      </c>
      <c r="G65" s="2" t="s">
        <v>536</v>
      </c>
      <c r="H65" s="2" t="s">
        <v>391</v>
      </c>
      <c r="I65" s="2" t="s">
        <v>169</v>
      </c>
      <c r="J65" s="2" t="s">
        <v>24</v>
      </c>
      <c r="K65" s="2" t="s">
        <v>47</v>
      </c>
      <c r="L65" s="2" t="s">
        <v>537</v>
      </c>
      <c r="M65" s="2" t="s">
        <v>27</v>
      </c>
      <c r="N65" s="2" t="s">
        <v>28</v>
      </c>
      <c r="O65" s="2" t="s">
        <v>73</v>
      </c>
      <c r="P65" s="2" t="s">
        <v>74</v>
      </c>
    </row>
    <row r="66" spans="1:16">
      <c r="A66" s="2" t="s">
        <v>538</v>
      </c>
      <c r="B66" s="2" t="s">
        <v>31</v>
      </c>
      <c r="C66" s="2" t="s">
        <v>220</v>
      </c>
      <c r="D66" s="2" t="s">
        <v>221</v>
      </c>
      <c r="E66" s="2" t="s">
        <v>263</v>
      </c>
      <c r="F66" s="2" t="s">
        <v>333</v>
      </c>
      <c r="G66" s="2" t="s">
        <v>539</v>
      </c>
      <c r="H66" s="2" t="s">
        <v>395</v>
      </c>
      <c r="I66" s="2" t="s">
        <v>173</v>
      </c>
      <c r="J66" s="2" t="s">
        <v>24</v>
      </c>
      <c r="K66" s="2" t="s">
        <v>90</v>
      </c>
      <c r="L66" s="2" t="s">
        <v>540</v>
      </c>
      <c r="M66" s="2" t="s">
        <v>27</v>
      </c>
      <c r="N66" s="2" t="s">
        <v>41</v>
      </c>
      <c r="O66" s="2" t="s">
        <v>67</v>
      </c>
      <c r="P66" s="2" t="s">
        <v>68</v>
      </c>
    </row>
    <row r="67" spans="1:16">
      <c r="A67" s="2" t="s">
        <v>541</v>
      </c>
      <c r="B67" s="2" t="s">
        <v>16</v>
      </c>
      <c r="C67" s="2" t="s">
        <v>125</v>
      </c>
      <c r="D67" s="2" t="s">
        <v>304</v>
      </c>
      <c r="E67" s="2" t="s">
        <v>264</v>
      </c>
      <c r="F67" s="2" t="s">
        <v>334</v>
      </c>
      <c r="G67" s="2" t="s">
        <v>542</v>
      </c>
      <c r="H67" s="2" t="s">
        <v>398</v>
      </c>
      <c r="I67" s="2" t="s">
        <v>178</v>
      </c>
      <c r="J67" s="2" t="s">
        <v>24</v>
      </c>
      <c r="K67" s="2" t="s">
        <v>25</v>
      </c>
      <c r="L67" s="2" t="s">
        <v>543</v>
      </c>
      <c r="M67" s="2" t="s">
        <v>62</v>
      </c>
      <c r="N67" s="2"/>
      <c r="O67" s="2"/>
      <c r="P67" s="2"/>
    </row>
    <row r="68" spans="1:16">
      <c r="A68" s="2" t="s">
        <v>544</v>
      </c>
      <c r="B68" s="2" t="s">
        <v>16</v>
      </c>
      <c r="C68" s="2" t="s">
        <v>265</v>
      </c>
      <c r="D68" s="2" t="s">
        <v>266</v>
      </c>
      <c r="E68" s="2" t="s">
        <v>267</v>
      </c>
      <c r="F68" s="2" t="s">
        <v>338</v>
      </c>
      <c r="G68" s="2" t="s">
        <v>545</v>
      </c>
      <c r="H68" s="2" t="s">
        <v>473</v>
      </c>
      <c r="I68" s="2" t="s">
        <v>234</v>
      </c>
      <c r="J68" s="2" t="s">
        <v>24</v>
      </c>
      <c r="K68" s="2" t="s">
        <v>50</v>
      </c>
      <c r="L68" s="2" t="s">
        <v>546</v>
      </c>
      <c r="M68" s="2" t="s">
        <v>27</v>
      </c>
      <c r="N68" s="2" t="s">
        <v>28</v>
      </c>
      <c r="O68" s="2" t="s">
        <v>29</v>
      </c>
      <c r="P68" s="2" t="s">
        <v>30</v>
      </c>
    </row>
    <row r="69" spans="1:16">
      <c r="A69" s="2" t="s">
        <v>547</v>
      </c>
      <c r="B69" s="2" t="s">
        <v>16</v>
      </c>
      <c r="C69" s="2" t="s">
        <v>132</v>
      </c>
      <c r="D69" s="2" t="s">
        <v>133</v>
      </c>
      <c r="E69" s="2" t="s">
        <v>268</v>
      </c>
      <c r="F69" s="2" t="s">
        <v>335</v>
      </c>
      <c r="G69" s="2" t="s">
        <v>548</v>
      </c>
      <c r="H69" s="2" t="s">
        <v>404</v>
      </c>
      <c r="I69" s="2" t="s">
        <v>313</v>
      </c>
      <c r="J69" s="2" t="s">
        <v>24</v>
      </c>
      <c r="K69" s="2" t="s">
        <v>39</v>
      </c>
      <c r="L69" s="2" t="s">
        <v>549</v>
      </c>
      <c r="M69" s="2" t="s">
        <v>27</v>
      </c>
      <c r="N69" s="2" t="s">
        <v>41</v>
      </c>
      <c r="O69" s="2" t="s">
        <v>73</v>
      </c>
      <c r="P69" s="2" t="s">
        <v>74</v>
      </c>
    </row>
    <row r="70" spans="1:16">
      <c r="A70" s="2" t="s">
        <v>550</v>
      </c>
      <c r="B70" s="2" t="s">
        <v>16</v>
      </c>
      <c r="C70" s="2" t="s">
        <v>137</v>
      </c>
      <c r="D70" s="2" t="s">
        <v>305</v>
      </c>
      <c r="E70" s="2" t="s">
        <v>269</v>
      </c>
      <c r="F70" s="2" t="s">
        <v>336</v>
      </c>
      <c r="G70" s="2" t="s">
        <v>551</v>
      </c>
      <c r="H70" s="2" t="s">
        <v>88</v>
      </c>
      <c r="I70" s="2" t="s">
        <v>89</v>
      </c>
      <c r="J70" s="2" t="s">
        <v>24</v>
      </c>
      <c r="K70" s="2" t="s">
        <v>47</v>
      </c>
      <c r="L70" s="2" t="s">
        <v>552</v>
      </c>
      <c r="M70" s="2" t="s">
        <v>62</v>
      </c>
      <c r="N70" s="2"/>
      <c r="O70" s="2"/>
      <c r="P70" s="2"/>
    </row>
    <row r="71" spans="1:16">
      <c r="A71" s="2" t="s">
        <v>553</v>
      </c>
      <c r="B71" s="2" t="s">
        <v>16</v>
      </c>
      <c r="C71" s="2" t="s">
        <v>142</v>
      </c>
      <c r="D71" s="2" t="s">
        <v>307</v>
      </c>
      <c r="E71" s="2" t="s">
        <v>270</v>
      </c>
      <c r="F71" s="2" t="s">
        <v>337</v>
      </c>
      <c r="G71" s="2" t="s">
        <v>554</v>
      </c>
      <c r="H71" s="2" t="s">
        <v>410</v>
      </c>
      <c r="I71" s="2" t="s">
        <v>315</v>
      </c>
      <c r="J71" s="2" t="s">
        <v>24</v>
      </c>
      <c r="K71" s="2" t="s">
        <v>90</v>
      </c>
      <c r="L71" s="2" t="s">
        <v>555</v>
      </c>
      <c r="M71" s="2" t="s">
        <v>27</v>
      </c>
      <c r="N71" s="2" t="s">
        <v>28</v>
      </c>
      <c r="O71" s="2" t="s">
        <v>42</v>
      </c>
      <c r="P71" s="2" t="s">
        <v>43</v>
      </c>
    </row>
    <row r="72" spans="1:16">
      <c r="A72" s="2" t="s">
        <v>556</v>
      </c>
      <c r="B72" s="2" t="s">
        <v>16</v>
      </c>
      <c r="C72" s="2" t="s">
        <v>146</v>
      </c>
      <c r="D72" s="2" t="s">
        <v>33</v>
      </c>
      <c r="E72" s="2" t="s">
        <v>271</v>
      </c>
      <c r="F72" s="2" t="s">
        <v>86</v>
      </c>
      <c r="G72" s="2" t="s">
        <v>557</v>
      </c>
      <c r="H72" s="2" t="s">
        <v>414</v>
      </c>
      <c r="I72" s="2" t="s">
        <v>197</v>
      </c>
      <c r="J72" s="2" t="s">
        <v>24</v>
      </c>
      <c r="K72" s="2" t="s">
        <v>25</v>
      </c>
      <c r="L72" s="2" t="s">
        <v>558</v>
      </c>
      <c r="M72" s="2" t="s">
        <v>27</v>
      </c>
      <c r="N72" s="2" t="s">
        <v>41</v>
      </c>
      <c r="O72" s="2" t="s">
        <v>29</v>
      </c>
      <c r="P72" s="2" t="s">
        <v>30</v>
      </c>
    </row>
    <row r="73" spans="1:16">
      <c r="A73" s="2" t="s">
        <v>559</v>
      </c>
      <c r="B73" s="2" t="s">
        <v>16</v>
      </c>
      <c r="C73" s="2" t="s">
        <v>151</v>
      </c>
      <c r="D73" s="2" t="s">
        <v>152</v>
      </c>
      <c r="E73" s="2" t="s">
        <v>272</v>
      </c>
      <c r="F73" s="2" t="s">
        <v>45</v>
      </c>
      <c r="G73" s="2" t="s">
        <v>560</v>
      </c>
      <c r="H73" s="2" t="s">
        <v>22</v>
      </c>
      <c r="I73" s="2" t="s">
        <v>23</v>
      </c>
      <c r="J73" s="2" t="s">
        <v>24</v>
      </c>
      <c r="K73" s="2" t="s">
        <v>50</v>
      </c>
      <c r="L73" s="2" t="s">
        <v>561</v>
      </c>
      <c r="M73" s="2" t="s">
        <v>62</v>
      </c>
      <c r="N73" s="2"/>
      <c r="O73" s="2"/>
      <c r="P73" s="2"/>
    </row>
    <row r="74" spans="1:16">
      <c r="A74" s="2" t="s">
        <v>562</v>
      </c>
      <c r="B74" s="2" t="s">
        <v>16</v>
      </c>
      <c r="C74" s="2" t="s">
        <v>32</v>
      </c>
      <c r="D74" s="2" t="s">
        <v>309</v>
      </c>
      <c r="E74" s="2" t="s">
        <v>273</v>
      </c>
      <c r="F74" s="2" t="s">
        <v>322</v>
      </c>
      <c r="G74" s="2" t="s">
        <v>563</v>
      </c>
      <c r="H74" s="2" t="s">
        <v>343</v>
      </c>
      <c r="I74" s="2" t="s">
        <v>108</v>
      </c>
      <c r="J74" s="2" t="s">
        <v>24</v>
      </c>
      <c r="K74" s="2" t="s">
        <v>39</v>
      </c>
      <c r="L74" s="2" t="s">
        <v>564</v>
      </c>
      <c r="M74" s="2" t="s">
        <v>27</v>
      </c>
      <c r="N74" s="2" t="s">
        <v>28</v>
      </c>
      <c r="O74" s="2" t="s">
        <v>67</v>
      </c>
      <c r="P74" s="2" t="s">
        <v>68</v>
      </c>
    </row>
    <row r="75" spans="1:16">
      <c r="A75" s="2" t="s">
        <v>565</v>
      </c>
      <c r="B75" s="2" t="s">
        <v>16</v>
      </c>
      <c r="C75" s="2" t="s">
        <v>75</v>
      </c>
      <c r="D75" s="2" t="s">
        <v>339</v>
      </c>
      <c r="E75" s="2" t="s">
        <v>274</v>
      </c>
      <c r="F75" s="2" t="s">
        <v>323</v>
      </c>
      <c r="G75" s="2" t="s">
        <v>566</v>
      </c>
      <c r="H75" s="2" t="s">
        <v>59</v>
      </c>
      <c r="I75" s="2" t="s">
        <v>60</v>
      </c>
      <c r="J75" s="2" t="s">
        <v>24</v>
      </c>
      <c r="K75" s="2" t="s">
        <v>47</v>
      </c>
      <c r="L75" s="2" t="s">
        <v>567</v>
      </c>
      <c r="M75" s="2" t="s">
        <v>27</v>
      </c>
      <c r="N75" s="2" t="s">
        <v>41</v>
      </c>
      <c r="O75" s="2" t="s">
        <v>42</v>
      </c>
      <c r="P75" s="2" t="s">
        <v>43</v>
      </c>
    </row>
    <row r="76" spans="1:16">
      <c r="A76" s="2" t="s">
        <v>568</v>
      </c>
      <c r="B76" s="2" t="s">
        <v>16</v>
      </c>
      <c r="C76" s="2" t="s">
        <v>160</v>
      </c>
      <c r="D76" s="2" t="s">
        <v>310</v>
      </c>
      <c r="E76" s="2" t="s">
        <v>275</v>
      </c>
      <c r="F76" s="2" t="s">
        <v>325</v>
      </c>
      <c r="G76" s="2" t="s">
        <v>569</v>
      </c>
      <c r="H76" s="2" t="s">
        <v>350</v>
      </c>
      <c r="I76" s="2" t="s">
        <v>117</v>
      </c>
      <c r="J76" s="2" t="s">
        <v>24</v>
      </c>
      <c r="K76" s="2" t="s">
        <v>90</v>
      </c>
      <c r="L76" s="2" t="s">
        <v>570</v>
      </c>
      <c r="M76" s="2" t="s">
        <v>62</v>
      </c>
      <c r="N76" s="2"/>
      <c r="O76" s="2"/>
      <c r="P76" s="2"/>
    </row>
    <row r="77" spans="1:16">
      <c r="A77" s="2" t="s">
        <v>571</v>
      </c>
      <c r="B77" s="2" t="s">
        <v>16</v>
      </c>
      <c r="C77" s="2" t="s">
        <v>165</v>
      </c>
      <c r="D77" s="2" t="s">
        <v>166</v>
      </c>
      <c r="E77" s="2" t="s">
        <v>276</v>
      </c>
      <c r="F77" s="2" t="s">
        <v>95</v>
      </c>
      <c r="G77" s="2" t="s">
        <v>572</v>
      </c>
      <c r="H77" s="2" t="s">
        <v>354</v>
      </c>
      <c r="I77" s="2" t="s">
        <v>303</v>
      </c>
      <c r="J77" s="2" t="s">
        <v>24</v>
      </c>
      <c r="K77" s="2" t="s">
        <v>25</v>
      </c>
      <c r="L77" s="2" t="s">
        <v>573</v>
      </c>
      <c r="M77" s="2" t="s">
        <v>27</v>
      </c>
      <c r="N77" s="2" t="s">
        <v>28</v>
      </c>
      <c r="O77" s="2" t="s">
        <v>73</v>
      </c>
      <c r="P77" s="2" t="s">
        <v>74</v>
      </c>
    </row>
    <row r="78" spans="1:16">
      <c r="A78" s="2" t="s">
        <v>574</v>
      </c>
      <c r="B78" s="2" t="s">
        <v>16</v>
      </c>
      <c r="C78" s="2" t="s">
        <v>170</v>
      </c>
      <c r="D78" s="2" t="s">
        <v>84</v>
      </c>
      <c r="E78" s="2" t="s">
        <v>277</v>
      </c>
      <c r="F78" s="2" t="s">
        <v>35</v>
      </c>
      <c r="G78" s="2" t="s">
        <v>575</v>
      </c>
      <c r="H78" s="2" t="s">
        <v>432</v>
      </c>
      <c r="I78" s="2" t="s">
        <v>215</v>
      </c>
      <c r="J78" s="2" t="s">
        <v>24</v>
      </c>
      <c r="K78" s="2" t="s">
        <v>50</v>
      </c>
      <c r="L78" s="2" t="s">
        <v>576</v>
      </c>
      <c r="M78" s="2" t="s">
        <v>27</v>
      </c>
      <c r="N78" s="2" t="s">
        <v>41</v>
      </c>
      <c r="O78" s="2" t="s">
        <v>67</v>
      </c>
      <c r="P78" s="2" t="s">
        <v>68</v>
      </c>
    </row>
    <row r="79" spans="1:16">
      <c r="A79" s="2" t="s">
        <v>577</v>
      </c>
      <c r="B79" s="2" t="s">
        <v>31</v>
      </c>
      <c r="C79" s="2" t="s">
        <v>174</v>
      </c>
      <c r="D79" s="2" t="s">
        <v>175</v>
      </c>
      <c r="E79" s="2" t="s">
        <v>278</v>
      </c>
      <c r="F79" s="2" t="s">
        <v>57</v>
      </c>
      <c r="G79" s="2" t="s">
        <v>578</v>
      </c>
      <c r="H79" s="2" t="s">
        <v>360</v>
      </c>
      <c r="I79" s="2" t="s">
        <v>129</v>
      </c>
      <c r="J79" s="2" t="s">
        <v>24</v>
      </c>
      <c r="K79" s="2" t="s">
        <v>39</v>
      </c>
      <c r="L79" s="2" t="s">
        <v>579</v>
      </c>
      <c r="M79" s="2" t="s">
        <v>62</v>
      </c>
      <c r="N79" s="2"/>
      <c r="O79" s="2"/>
      <c r="P79" s="2"/>
    </row>
    <row r="80" spans="1:16">
      <c r="A80" s="2" t="s">
        <v>580</v>
      </c>
      <c r="B80" s="2" t="s">
        <v>16</v>
      </c>
      <c r="C80" s="2" t="s">
        <v>241</v>
      </c>
      <c r="D80" s="2" t="s">
        <v>242</v>
      </c>
      <c r="E80" s="2" t="s">
        <v>279</v>
      </c>
      <c r="F80" s="2" t="s">
        <v>340</v>
      </c>
      <c r="G80" s="2" t="s">
        <v>581</v>
      </c>
      <c r="H80" s="2" t="s">
        <v>510</v>
      </c>
      <c r="I80" s="2" t="s">
        <v>251</v>
      </c>
      <c r="J80" s="2" t="s">
        <v>24</v>
      </c>
      <c r="K80" s="2" t="s">
        <v>47</v>
      </c>
      <c r="L80" s="2" t="s">
        <v>582</v>
      </c>
      <c r="M80" s="2" t="s">
        <v>27</v>
      </c>
      <c r="N80" s="2" t="s">
        <v>28</v>
      </c>
      <c r="O80" s="2" t="s">
        <v>29</v>
      </c>
      <c r="P80" s="2" t="s">
        <v>30</v>
      </c>
    </row>
    <row r="81" spans="1:16">
      <c r="A81" s="2" t="s">
        <v>583</v>
      </c>
      <c r="B81" s="2" t="s">
        <v>16</v>
      </c>
      <c r="C81" s="2" t="s">
        <v>180</v>
      </c>
      <c r="D81" s="2" t="s">
        <v>181</v>
      </c>
      <c r="E81" s="2" t="s">
        <v>280</v>
      </c>
      <c r="F81" s="2" t="s">
        <v>326</v>
      </c>
      <c r="G81" s="2" t="s">
        <v>584</v>
      </c>
      <c r="H81" s="2" t="s">
        <v>364</v>
      </c>
      <c r="I81" s="2" t="s">
        <v>136</v>
      </c>
      <c r="J81" s="2" t="s">
        <v>24</v>
      </c>
      <c r="K81" s="2" t="s">
        <v>90</v>
      </c>
      <c r="L81" s="2" t="s">
        <v>585</v>
      </c>
      <c r="M81" s="2" t="s">
        <v>27</v>
      </c>
      <c r="N81" s="2" t="s">
        <v>41</v>
      </c>
      <c r="O81" s="2" t="s">
        <v>73</v>
      </c>
      <c r="P81" s="2" t="s">
        <v>74</v>
      </c>
    </row>
    <row r="82" spans="1:16">
      <c r="A82" s="2" t="s">
        <v>586</v>
      </c>
      <c r="B82" s="2" t="s">
        <v>16</v>
      </c>
      <c r="C82" s="2" t="s">
        <v>185</v>
      </c>
      <c r="D82" s="2" t="s">
        <v>314</v>
      </c>
      <c r="E82" s="2" t="s">
        <v>281</v>
      </c>
      <c r="F82" s="2" t="s">
        <v>327</v>
      </c>
      <c r="G82" s="2" t="s">
        <v>587</v>
      </c>
      <c r="H82" s="2" t="s">
        <v>368</v>
      </c>
      <c r="I82" s="2" t="s">
        <v>306</v>
      </c>
      <c r="J82" s="2" t="s">
        <v>24</v>
      </c>
      <c r="K82" s="2" t="s">
        <v>25</v>
      </c>
      <c r="L82" s="2" t="s">
        <v>72</v>
      </c>
      <c r="M82" s="2" t="s">
        <v>62</v>
      </c>
      <c r="N82" s="2"/>
      <c r="O82" s="2"/>
      <c r="P82" s="2"/>
    </row>
    <row r="83" spans="1:16">
      <c r="A83" s="2" t="s">
        <v>588</v>
      </c>
      <c r="B83" s="2" t="s">
        <v>16</v>
      </c>
      <c r="C83" s="2" t="s">
        <v>17</v>
      </c>
      <c r="D83" s="2" t="s">
        <v>18</v>
      </c>
      <c r="E83" s="2" t="s">
        <v>19</v>
      </c>
      <c r="F83" s="2" t="s">
        <v>49</v>
      </c>
      <c r="G83" s="2" t="s">
        <v>21</v>
      </c>
      <c r="H83" s="2" t="s">
        <v>22</v>
      </c>
      <c r="I83" s="2" t="s">
        <v>23</v>
      </c>
      <c r="J83" s="2" t="s">
        <v>24</v>
      </c>
      <c r="K83" s="2" t="s">
        <v>50</v>
      </c>
      <c r="L83" s="2" t="s">
        <v>51</v>
      </c>
      <c r="M83" s="2" t="s">
        <v>27</v>
      </c>
      <c r="N83" s="2" t="s">
        <v>28</v>
      </c>
      <c r="O83" s="2" t="s">
        <v>42</v>
      </c>
      <c r="P83" s="2" t="s">
        <v>43</v>
      </c>
    </row>
    <row r="84" spans="1:16">
      <c r="A84" s="2" t="s">
        <v>589</v>
      </c>
      <c r="B84" s="2" t="s">
        <v>16</v>
      </c>
      <c r="C84" s="2" t="s">
        <v>32</v>
      </c>
      <c r="D84" s="2" t="s">
        <v>33</v>
      </c>
      <c r="E84" s="2" t="s">
        <v>34</v>
      </c>
      <c r="F84" s="2" t="s">
        <v>52</v>
      </c>
      <c r="G84" s="2" t="s">
        <v>36</v>
      </c>
      <c r="H84" s="2" t="s">
        <v>37</v>
      </c>
      <c r="I84" s="2" t="s">
        <v>38</v>
      </c>
      <c r="J84" s="2" t="s">
        <v>24</v>
      </c>
      <c r="K84" s="2" t="s">
        <v>39</v>
      </c>
      <c r="L84" s="2" t="s">
        <v>53</v>
      </c>
      <c r="M84" s="2" t="s">
        <v>27</v>
      </c>
      <c r="N84" s="2" t="s">
        <v>41</v>
      </c>
      <c r="O84" s="2" t="s">
        <v>29</v>
      </c>
      <c r="P84" s="2" t="s">
        <v>30</v>
      </c>
    </row>
    <row r="85" spans="1:16">
      <c r="A85" s="2" t="s">
        <v>590</v>
      </c>
      <c r="B85" s="2" t="s">
        <v>16</v>
      </c>
      <c r="C85" s="2" t="s">
        <v>54</v>
      </c>
      <c r="D85" s="2" t="s">
        <v>55</v>
      </c>
      <c r="E85" s="2" t="s">
        <v>56</v>
      </c>
      <c r="F85" s="2" t="s">
        <v>57</v>
      </c>
      <c r="G85" s="2" t="s">
        <v>58</v>
      </c>
      <c r="H85" s="2" t="s">
        <v>59</v>
      </c>
      <c r="I85" s="2" t="s">
        <v>60</v>
      </c>
      <c r="J85" s="2" t="s">
        <v>24</v>
      </c>
      <c r="K85" s="2" t="s">
        <v>25</v>
      </c>
      <c r="L85" s="2" t="s">
        <v>61</v>
      </c>
      <c r="M85" s="2" t="s">
        <v>62</v>
      </c>
      <c r="N85" s="2"/>
      <c r="O85" s="2"/>
      <c r="P85" s="2"/>
    </row>
    <row r="86" spans="1:16">
      <c r="A86" s="2" t="s">
        <v>591</v>
      </c>
      <c r="B86" s="2" t="s">
        <v>16</v>
      </c>
      <c r="C86" s="2" t="s">
        <v>54</v>
      </c>
      <c r="D86" s="2" t="s">
        <v>55</v>
      </c>
      <c r="E86" s="2" t="s">
        <v>63</v>
      </c>
      <c r="F86" s="2" t="s">
        <v>64</v>
      </c>
      <c r="G86" s="2" t="s">
        <v>65</v>
      </c>
      <c r="H86" s="2" t="s">
        <v>59</v>
      </c>
      <c r="I86" s="2" t="s">
        <v>60</v>
      </c>
      <c r="J86" s="2" t="s">
        <v>24</v>
      </c>
      <c r="K86" s="2" t="s">
        <v>25</v>
      </c>
      <c r="L86" s="2" t="s">
        <v>66</v>
      </c>
      <c r="M86" s="2" t="s">
        <v>27</v>
      </c>
      <c r="N86" s="2" t="s">
        <v>28</v>
      </c>
      <c r="O86" s="2" t="s">
        <v>67</v>
      </c>
      <c r="P86" s="2" t="s">
        <v>68</v>
      </c>
    </row>
    <row r="87" spans="1:16">
      <c r="A87" s="2" t="s">
        <v>592</v>
      </c>
      <c r="B87" s="2" t="s">
        <v>31</v>
      </c>
      <c r="C87" s="2" t="s">
        <v>137</v>
      </c>
      <c r="D87" s="2" t="s">
        <v>324</v>
      </c>
      <c r="E87" s="2" t="s">
        <v>282</v>
      </c>
      <c r="F87" s="2" t="s">
        <v>322</v>
      </c>
      <c r="G87" s="2" t="s">
        <v>406</v>
      </c>
      <c r="H87" s="2" t="s">
        <v>387</v>
      </c>
      <c r="I87" s="2" t="s">
        <v>311</v>
      </c>
      <c r="J87" s="2" t="s">
        <v>24</v>
      </c>
      <c r="K87" s="2" t="s">
        <v>47</v>
      </c>
      <c r="L87" s="2" t="s">
        <v>593</v>
      </c>
      <c r="M87" s="2" t="s">
        <v>27</v>
      </c>
      <c r="N87" s="2" t="s">
        <v>41</v>
      </c>
      <c r="O87" s="2" t="s">
        <v>42</v>
      </c>
      <c r="P87" s="2" t="s">
        <v>43</v>
      </c>
    </row>
    <row r="88" spans="1:16">
      <c r="A88" s="2" t="s">
        <v>594</v>
      </c>
      <c r="B88" s="2" t="s">
        <v>16</v>
      </c>
      <c r="C88" s="2" t="s">
        <v>207</v>
      </c>
      <c r="D88" s="2" t="s">
        <v>208</v>
      </c>
      <c r="E88" s="2" t="s">
        <v>283</v>
      </c>
      <c r="F88" s="2" t="s">
        <v>331</v>
      </c>
      <c r="G88" s="2" t="s">
        <v>595</v>
      </c>
      <c r="H88" s="2" t="s">
        <v>387</v>
      </c>
      <c r="I88" s="2" t="s">
        <v>311</v>
      </c>
      <c r="J88" s="2" t="s">
        <v>24</v>
      </c>
      <c r="K88" s="2" t="s">
        <v>50</v>
      </c>
      <c r="L88" s="2" t="s">
        <v>585</v>
      </c>
      <c r="M88" s="2" t="s">
        <v>62</v>
      </c>
      <c r="N88" s="2"/>
      <c r="O88" s="2"/>
      <c r="P88" s="2"/>
    </row>
    <row r="89" spans="1:16">
      <c r="A89" s="2" t="s">
        <v>596</v>
      </c>
      <c r="B89" s="2" t="s">
        <v>16</v>
      </c>
      <c r="C89" s="2" t="s">
        <v>54</v>
      </c>
      <c r="D89" s="2" t="s">
        <v>55</v>
      </c>
      <c r="E89" s="2" t="s">
        <v>69</v>
      </c>
      <c r="F89" s="2" t="s">
        <v>70</v>
      </c>
      <c r="G89" s="2" t="s">
        <v>71</v>
      </c>
      <c r="H89" s="2" t="s">
        <v>59</v>
      </c>
      <c r="I89" s="2" t="s">
        <v>60</v>
      </c>
      <c r="J89" s="2" t="s">
        <v>24</v>
      </c>
      <c r="K89" s="2" t="s">
        <v>50</v>
      </c>
      <c r="L89" s="2" t="s">
        <v>72</v>
      </c>
      <c r="M89" s="2" t="s">
        <v>27</v>
      </c>
      <c r="N89" s="2" t="s">
        <v>28</v>
      </c>
      <c r="O89" s="2" t="s">
        <v>73</v>
      </c>
      <c r="P89" s="2" t="s">
        <v>74</v>
      </c>
    </row>
    <row r="90" spans="1:16">
      <c r="A90" s="2" t="s">
        <v>597</v>
      </c>
      <c r="B90" s="2" t="s">
        <v>16</v>
      </c>
      <c r="C90" s="2" t="s">
        <v>137</v>
      </c>
      <c r="D90" s="2" t="s">
        <v>324</v>
      </c>
      <c r="E90" s="2" t="s">
        <v>282</v>
      </c>
      <c r="F90" s="2" t="s">
        <v>284</v>
      </c>
      <c r="G90" s="2" t="s">
        <v>406</v>
      </c>
      <c r="H90" s="2" t="s">
        <v>387</v>
      </c>
      <c r="I90" s="2" t="s">
        <v>311</v>
      </c>
      <c r="J90" s="2" t="s">
        <v>24</v>
      </c>
      <c r="K90" s="2" t="s">
        <v>47</v>
      </c>
      <c r="L90" s="2" t="s">
        <v>51</v>
      </c>
      <c r="M90" s="2" t="s">
        <v>27</v>
      </c>
      <c r="N90" s="2" t="s">
        <v>41</v>
      </c>
      <c r="O90" s="2" t="s">
        <v>67</v>
      </c>
      <c r="P90" s="2" t="s">
        <v>68</v>
      </c>
    </row>
    <row r="91" spans="1:16">
      <c r="A91" s="2" t="s">
        <v>598</v>
      </c>
      <c r="B91" s="2" t="s">
        <v>16</v>
      </c>
      <c r="C91" s="2" t="s">
        <v>17</v>
      </c>
      <c r="D91" s="2" t="s">
        <v>18</v>
      </c>
      <c r="E91" s="2" t="s">
        <v>285</v>
      </c>
      <c r="F91" s="2" t="s">
        <v>334</v>
      </c>
      <c r="G91" s="2" t="s">
        <v>599</v>
      </c>
      <c r="H91" s="2" t="s">
        <v>398</v>
      </c>
      <c r="I91" s="2" t="s">
        <v>178</v>
      </c>
      <c r="J91" s="2" t="s">
        <v>24</v>
      </c>
      <c r="K91" s="2" t="s">
        <v>90</v>
      </c>
      <c r="L91" s="2" t="s">
        <v>53</v>
      </c>
      <c r="M91" s="2" t="s">
        <v>62</v>
      </c>
      <c r="N91" s="2"/>
      <c r="O91" s="2"/>
      <c r="P91" s="2"/>
    </row>
    <row r="92" spans="1:16">
      <c r="A92" s="2" t="s">
        <v>600</v>
      </c>
      <c r="B92" s="2" t="s">
        <v>31</v>
      </c>
      <c r="C92" s="2" t="s">
        <v>83</v>
      </c>
      <c r="D92" s="2" t="s">
        <v>105</v>
      </c>
      <c r="E92" s="2" t="s">
        <v>286</v>
      </c>
      <c r="F92" s="2" t="s">
        <v>338</v>
      </c>
      <c r="G92" s="2" t="s">
        <v>601</v>
      </c>
      <c r="H92" s="2" t="s">
        <v>473</v>
      </c>
      <c r="I92" s="2" t="s">
        <v>234</v>
      </c>
      <c r="J92" s="2" t="s">
        <v>24</v>
      </c>
      <c r="K92" s="2" t="s">
        <v>25</v>
      </c>
      <c r="L92" s="2" t="s">
        <v>61</v>
      </c>
      <c r="M92" s="2" t="s">
        <v>27</v>
      </c>
      <c r="N92" s="2" t="s">
        <v>28</v>
      </c>
      <c r="O92" s="2" t="s">
        <v>29</v>
      </c>
      <c r="P92" s="2" t="s">
        <v>30</v>
      </c>
    </row>
    <row r="93" spans="1:16">
      <c r="A93" s="2" t="s">
        <v>602</v>
      </c>
      <c r="B93" s="2" t="s">
        <v>16</v>
      </c>
      <c r="C93" s="2" t="s">
        <v>75</v>
      </c>
      <c r="D93" s="2" t="s">
        <v>76</v>
      </c>
      <c r="E93" s="2" t="s">
        <v>77</v>
      </c>
      <c r="F93" s="2" t="s">
        <v>78</v>
      </c>
      <c r="G93" s="2" t="s">
        <v>79</v>
      </c>
      <c r="H93" s="2" t="s">
        <v>80</v>
      </c>
      <c r="I93" s="2" t="s">
        <v>81</v>
      </c>
      <c r="J93" s="2" t="s">
        <v>82</v>
      </c>
      <c r="K93" s="2" t="s">
        <v>25</v>
      </c>
      <c r="L93" s="2" t="s">
        <v>66</v>
      </c>
      <c r="M93" s="2" t="s">
        <v>27</v>
      </c>
      <c r="N93" s="2" t="s">
        <v>41</v>
      </c>
      <c r="O93" s="2" t="s">
        <v>73</v>
      </c>
      <c r="P93" s="2" t="s">
        <v>74</v>
      </c>
    </row>
    <row r="94" spans="1:16">
      <c r="A94" s="2" t="s">
        <v>603</v>
      </c>
      <c r="B94" s="2" t="s">
        <v>16</v>
      </c>
      <c r="C94" s="2" t="s">
        <v>17</v>
      </c>
      <c r="D94" s="2" t="s">
        <v>18</v>
      </c>
      <c r="E94" s="2" t="s">
        <v>288</v>
      </c>
      <c r="F94" s="2" t="s">
        <v>334</v>
      </c>
      <c r="G94" s="2" t="s">
        <v>362</v>
      </c>
      <c r="H94" s="2" t="s">
        <v>37</v>
      </c>
      <c r="I94" s="2" t="s">
        <v>38</v>
      </c>
      <c r="J94" s="2" t="s">
        <v>24</v>
      </c>
      <c r="K94" s="2" t="s">
        <v>39</v>
      </c>
      <c r="L94" s="2" t="s">
        <v>593</v>
      </c>
      <c r="M94" s="2" t="s">
        <v>62</v>
      </c>
      <c r="N94" s="2"/>
      <c r="O94" s="2"/>
      <c r="P94" s="2"/>
    </row>
    <row r="95" spans="1:16">
      <c r="A95" s="2" t="s">
        <v>604</v>
      </c>
      <c r="B95" s="2" t="s">
        <v>16</v>
      </c>
      <c r="C95" s="2" t="s">
        <v>207</v>
      </c>
      <c r="D95" s="2" t="s">
        <v>305</v>
      </c>
      <c r="E95" s="2" t="s">
        <v>289</v>
      </c>
      <c r="F95" s="2" t="s">
        <v>290</v>
      </c>
      <c r="G95" s="2" t="s">
        <v>374</v>
      </c>
      <c r="H95" s="2" t="s">
        <v>605</v>
      </c>
      <c r="I95" s="2" t="s">
        <v>321</v>
      </c>
      <c r="J95" s="2" t="s">
        <v>292</v>
      </c>
      <c r="K95" s="2" t="s">
        <v>50</v>
      </c>
      <c r="L95" s="2" t="s">
        <v>585</v>
      </c>
      <c r="M95" s="2" t="s">
        <v>27</v>
      </c>
      <c r="N95" s="2" t="s">
        <v>28</v>
      </c>
      <c r="O95" s="2" t="s">
        <v>42</v>
      </c>
      <c r="P95" s="2" t="s">
        <v>43</v>
      </c>
    </row>
    <row r="96" spans="1:16">
      <c r="A96" s="2" t="s">
        <v>606</v>
      </c>
      <c r="B96" s="2" t="s">
        <v>16</v>
      </c>
      <c r="C96" s="2" t="s">
        <v>109</v>
      </c>
      <c r="D96" s="2" t="s">
        <v>175</v>
      </c>
      <c r="E96" s="2" t="s">
        <v>293</v>
      </c>
      <c r="F96" s="2" t="s">
        <v>330</v>
      </c>
      <c r="G96" s="2" t="s">
        <v>393</v>
      </c>
      <c r="H96" s="2" t="s">
        <v>510</v>
      </c>
      <c r="I96" s="2" t="s">
        <v>251</v>
      </c>
      <c r="J96" s="2" t="s">
        <v>24</v>
      </c>
      <c r="K96" s="2" t="s">
        <v>39</v>
      </c>
      <c r="L96" s="2" t="s">
        <v>72</v>
      </c>
      <c r="M96" s="2" t="s">
        <v>27</v>
      </c>
      <c r="N96" s="2" t="s">
        <v>41</v>
      </c>
      <c r="O96" s="2" t="s">
        <v>29</v>
      </c>
      <c r="P96" s="2" t="s">
        <v>30</v>
      </c>
    </row>
    <row r="97" spans="1:16">
      <c r="A97" s="2" t="s">
        <v>607</v>
      </c>
      <c r="B97" s="2" t="s">
        <v>16</v>
      </c>
      <c r="C97" s="2" t="s">
        <v>125</v>
      </c>
      <c r="D97" s="2" t="s">
        <v>310</v>
      </c>
      <c r="E97" s="2" t="s">
        <v>294</v>
      </c>
      <c r="F97" s="2" t="s">
        <v>295</v>
      </c>
      <c r="G97" s="2" t="s">
        <v>362</v>
      </c>
      <c r="H97" s="2" t="s">
        <v>608</v>
      </c>
      <c r="I97" s="2" t="s">
        <v>296</v>
      </c>
      <c r="J97" s="2" t="s">
        <v>297</v>
      </c>
      <c r="K97" s="2" t="s">
        <v>47</v>
      </c>
      <c r="L97" s="2" t="s">
        <v>51</v>
      </c>
      <c r="M97" s="2" t="s">
        <v>62</v>
      </c>
      <c r="N97" s="2"/>
      <c r="O97" s="2"/>
      <c r="P97" s="2"/>
    </row>
    <row r="98" spans="1:16">
      <c r="A98" s="2" t="s">
        <v>609</v>
      </c>
      <c r="B98" s="2" t="s">
        <v>16</v>
      </c>
      <c r="C98" s="2" t="s">
        <v>83</v>
      </c>
      <c r="D98" s="2" t="s">
        <v>84</v>
      </c>
      <c r="E98" s="2" t="s">
        <v>85</v>
      </c>
      <c r="F98" s="2" t="s">
        <v>86</v>
      </c>
      <c r="G98" s="2" t="s">
        <v>87</v>
      </c>
      <c r="H98" s="2" t="s">
        <v>88</v>
      </c>
      <c r="I98" s="2" t="s">
        <v>89</v>
      </c>
      <c r="J98" s="2" t="s">
        <v>24</v>
      </c>
      <c r="K98" s="2" t="s">
        <v>90</v>
      </c>
      <c r="L98" s="2" t="s">
        <v>53</v>
      </c>
      <c r="M98" s="2" t="s">
        <v>27</v>
      </c>
      <c r="N98" s="2" t="s">
        <v>28</v>
      </c>
      <c r="O98" s="2" t="s">
        <v>67</v>
      </c>
      <c r="P98" s="2" t="s">
        <v>68</v>
      </c>
    </row>
    <row r="99" spans="1:16">
      <c r="A99" s="2" t="s">
        <v>610</v>
      </c>
      <c r="B99" s="2" t="s">
        <v>16</v>
      </c>
      <c r="C99" s="2" t="s">
        <v>132</v>
      </c>
      <c r="D99" s="2" t="s">
        <v>133</v>
      </c>
      <c r="E99" s="2" t="s">
        <v>298</v>
      </c>
      <c r="F99" s="2" t="s">
        <v>323</v>
      </c>
      <c r="G99" s="2" t="s">
        <v>611</v>
      </c>
      <c r="H99" s="2" t="s">
        <v>59</v>
      </c>
      <c r="I99" s="2" t="s">
        <v>60</v>
      </c>
      <c r="J99" s="2" t="s">
        <v>24</v>
      </c>
      <c r="K99" s="2" t="s">
        <v>39</v>
      </c>
      <c r="L99" s="2" t="s">
        <v>61</v>
      </c>
      <c r="M99" s="2" t="s">
        <v>27</v>
      </c>
      <c r="N99" s="2" t="s">
        <v>41</v>
      </c>
      <c r="O99" s="2" t="s">
        <v>42</v>
      </c>
      <c r="P99" s="2" t="s">
        <v>43</v>
      </c>
    </row>
    <row r="100" spans="1:16">
      <c r="A100" s="2" t="s">
        <v>612</v>
      </c>
      <c r="B100" s="2" t="s">
        <v>16</v>
      </c>
      <c r="C100" s="2" t="s">
        <v>299</v>
      </c>
      <c r="D100" s="2" t="s">
        <v>210</v>
      </c>
      <c r="E100" s="2" t="s">
        <v>300</v>
      </c>
      <c r="F100" s="2" t="s">
        <v>334</v>
      </c>
      <c r="G100" s="2" t="s">
        <v>370</v>
      </c>
      <c r="H100" s="2" t="s">
        <v>360</v>
      </c>
      <c r="I100" s="2" t="s">
        <v>129</v>
      </c>
      <c r="J100" s="2" t="s">
        <v>24</v>
      </c>
      <c r="K100" s="2" t="s">
        <v>90</v>
      </c>
      <c r="L100" s="2" t="s">
        <v>66</v>
      </c>
      <c r="M100" s="2" t="s">
        <v>62</v>
      </c>
      <c r="N100" s="2"/>
      <c r="O100" s="2"/>
      <c r="P100" s="2"/>
    </row>
    <row r="101" spans="1:16">
      <c r="A101" s="2" t="s">
        <v>613</v>
      </c>
      <c r="B101" s="2" t="s">
        <v>16</v>
      </c>
      <c r="C101" s="2" t="s">
        <v>198</v>
      </c>
      <c r="D101" s="2" t="s">
        <v>314</v>
      </c>
      <c r="E101" s="2" t="s">
        <v>301</v>
      </c>
      <c r="F101" s="2" t="s">
        <v>95</v>
      </c>
      <c r="G101" s="2" t="s">
        <v>425</v>
      </c>
      <c r="H101" s="2" t="s">
        <v>404</v>
      </c>
      <c r="I101" s="2" t="s">
        <v>313</v>
      </c>
      <c r="J101" s="2" t="s">
        <v>24</v>
      </c>
      <c r="K101" s="2" t="s">
        <v>25</v>
      </c>
      <c r="L101" s="2" t="s">
        <v>593</v>
      </c>
      <c r="M101" s="2" t="s">
        <v>27</v>
      </c>
      <c r="N101" s="2" t="s">
        <v>28</v>
      </c>
      <c r="O101" s="2" t="s">
        <v>73</v>
      </c>
      <c r="P101" s="2" t="s">
        <v>74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4716-154B-4F65-AE95-608F64805D3A}">
  <sheetPr codeName="Tabelle5">
    <tabColor theme="9" tint="0.39997558519241921"/>
  </sheetPr>
  <dimension ref="A1:M57"/>
  <sheetViews>
    <sheetView zoomScaleNormal="100" workbookViewId="0">
      <selection activeCell="A5" sqref="A5:M9"/>
    </sheetView>
  </sheetViews>
  <sheetFormatPr baseColWidth="10" defaultColWidth="8.6640625" defaultRowHeight="14"/>
  <sheetData>
    <row r="1" spans="1:13" ht="14" customHeight="1">
      <c r="A1" s="99" t="s">
        <v>666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1"/>
    </row>
    <row r="2" spans="1:13" ht="14" customHeight="1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4"/>
    </row>
    <row r="3" spans="1:13" ht="14" customHeight="1">
      <c r="A3" s="105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7"/>
    </row>
    <row r="4" spans="1:13">
      <c r="A4" s="96" t="s">
        <v>662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8"/>
    </row>
    <row r="5" spans="1:13">
      <c r="A5" s="90" t="s">
        <v>689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2"/>
    </row>
    <row r="6" spans="1:13" ht="14" customHeight="1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</row>
    <row r="7" spans="1:13">
      <c r="A7" s="90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2"/>
    </row>
    <row r="8" spans="1:13">
      <c r="A8" s="90"/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2"/>
    </row>
    <row r="9" spans="1:13" ht="14" customHeight="1">
      <c r="A9" s="90"/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2"/>
    </row>
    <row r="10" spans="1:13" ht="14.5" customHeight="1">
      <c r="A10" s="96" t="s">
        <v>644</v>
      </c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8"/>
    </row>
    <row r="11" spans="1:13" ht="14.5" customHeight="1">
      <c r="A11" s="90" t="s">
        <v>681</v>
      </c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2"/>
    </row>
    <row r="12" spans="1:13" ht="14.5" customHeight="1">
      <c r="A12" s="90"/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2"/>
    </row>
    <row r="13" spans="1:13" ht="14.5" customHeight="1">
      <c r="A13" s="51"/>
      <c r="B13" s="9"/>
      <c r="C13" s="10"/>
      <c r="D13" s="10"/>
      <c r="E13" s="10"/>
      <c r="F13" s="10"/>
      <c r="G13" s="10"/>
      <c r="H13" s="10"/>
      <c r="I13" s="10"/>
      <c r="J13" s="10"/>
      <c r="K13" s="40"/>
      <c r="L13" s="41"/>
      <c r="M13" s="25"/>
    </row>
    <row r="14" spans="1:13" ht="14.5" customHeight="1">
      <c r="A14" s="51"/>
      <c r="B14" s="12"/>
      <c r="C14" s="115" t="s">
        <v>614</v>
      </c>
      <c r="D14" s="115"/>
      <c r="E14" s="115"/>
      <c r="F14" s="115"/>
      <c r="G14" s="115"/>
      <c r="H14" s="115"/>
      <c r="I14" s="115"/>
      <c r="J14" s="115"/>
      <c r="K14" s="115"/>
      <c r="L14" s="42"/>
      <c r="M14" s="25"/>
    </row>
    <row r="15" spans="1:13" ht="14.5" customHeight="1">
      <c r="A15" s="51"/>
      <c r="B15" s="12"/>
      <c r="C15" s="14"/>
      <c r="D15" s="14"/>
      <c r="E15" s="14"/>
      <c r="F15" s="14"/>
      <c r="G15" s="20"/>
      <c r="H15" s="14"/>
      <c r="I15" s="14"/>
      <c r="J15" s="14"/>
      <c r="K15" s="22"/>
      <c r="L15" s="42"/>
      <c r="M15" s="25"/>
    </row>
    <row r="16" spans="1:13" ht="14.5" customHeight="1">
      <c r="A16" s="51"/>
      <c r="B16" s="12"/>
      <c r="C16" s="121" t="s">
        <v>101</v>
      </c>
      <c r="D16" s="121"/>
      <c r="E16" s="121"/>
      <c r="F16" s="121"/>
      <c r="G16" s="21"/>
      <c r="H16" s="19"/>
      <c r="I16" s="116" t="s">
        <v>102</v>
      </c>
      <c r="J16" s="116"/>
      <c r="K16" s="19"/>
      <c r="L16" s="42"/>
      <c r="M16" s="25"/>
    </row>
    <row r="17" spans="1:13" ht="14.5" customHeight="1">
      <c r="A17" s="51"/>
      <c r="B17" s="12"/>
      <c r="C17" s="142" t="s">
        <v>667</v>
      </c>
      <c r="D17" s="143"/>
      <c r="E17" s="143"/>
      <c r="F17" s="144"/>
      <c r="G17" s="125" t="s">
        <v>655</v>
      </c>
      <c r="H17" s="152" t="s">
        <v>680</v>
      </c>
      <c r="I17" s="153"/>
      <c r="J17" s="153"/>
      <c r="K17" s="154"/>
      <c r="L17" s="42"/>
      <c r="M17" s="25"/>
    </row>
    <row r="18" spans="1:13" ht="14.5" customHeight="1">
      <c r="A18" s="51"/>
      <c r="B18" s="12"/>
      <c r="C18" s="145"/>
      <c r="D18" s="146"/>
      <c r="E18" s="146"/>
      <c r="F18" s="147"/>
      <c r="G18" s="125"/>
      <c r="H18" s="155"/>
      <c r="I18" s="156"/>
      <c r="J18" s="156"/>
      <c r="K18" s="157"/>
      <c r="L18" s="42"/>
      <c r="M18" s="25"/>
    </row>
    <row r="19" spans="1:13" ht="14.5" customHeight="1">
      <c r="A19" s="51"/>
      <c r="B19" s="12"/>
      <c r="C19" s="122"/>
      <c r="D19" s="122"/>
      <c r="E19" s="114"/>
      <c r="F19" s="114"/>
      <c r="G19" s="114"/>
      <c r="H19" s="18"/>
      <c r="I19" s="14"/>
      <c r="J19" s="14"/>
      <c r="K19" s="22"/>
      <c r="L19" s="42"/>
      <c r="M19" s="25"/>
    </row>
    <row r="20" spans="1:13" ht="14.5" customHeight="1">
      <c r="A20" s="51"/>
      <c r="B20" s="12"/>
      <c r="C20" s="14"/>
      <c r="D20" s="14"/>
      <c r="E20" s="14"/>
      <c r="F20" s="14"/>
      <c r="G20" s="14"/>
      <c r="H20" s="14"/>
      <c r="I20" s="14"/>
      <c r="J20" s="14"/>
      <c r="K20" s="22"/>
      <c r="L20" s="42"/>
      <c r="M20" s="25"/>
    </row>
    <row r="21" spans="1:13" ht="14.5" customHeight="1">
      <c r="A21" s="51"/>
      <c r="B21" s="12"/>
      <c r="C21" s="14"/>
      <c r="D21" s="14"/>
      <c r="E21" s="14"/>
      <c r="F21" s="14"/>
      <c r="G21" s="14"/>
      <c r="H21" s="14"/>
      <c r="I21" s="14"/>
      <c r="J21" s="14"/>
      <c r="K21" s="22"/>
      <c r="L21" s="42"/>
      <c r="M21" s="25"/>
    </row>
    <row r="22" spans="1:13" ht="14.5" customHeight="1">
      <c r="A22" s="51"/>
      <c r="B22" s="12"/>
      <c r="C22" s="14"/>
      <c r="D22" s="14"/>
      <c r="E22" s="14"/>
      <c r="F22" s="14"/>
      <c r="G22" s="14"/>
      <c r="H22" s="14"/>
      <c r="I22" s="14"/>
      <c r="J22" s="14"/>
      <c r="K22" s="22"/>
      <c r="L22" s="42"/>
      <c r="M22" s="25"/>
    </row>
    <row r="23" spans="1:13" ht="14.5" customHeight="1">
      <c r="A23" s="51"/>
      <c r="B23" s="12"/>
      <c r="C23" s="20"/>
      <c r="D23" s="14"/>
      <c r="E23" s="14"/>
      <c r="F23" s="14"/>
      <c r="G23" s="14"/>
      <c r="H23" s="14"/>
      <c r="I23" s="14"/>
      <c r="J23" s="14"/>
      <c r="K23" s="22"/>
      <c r="L23" s="42"/>
      <c r="M23" s="25"/>
    </row>
    <row r="24" spans="1:13" ht="14.5" customHeight="1">
      <c r="A24" s="51"/>
      <c r="B24" s="15"/>
      <c r="C24" s="16"/>
      <c r="D24" s="16"/>
      <c r="E24" s="16"/>
      <c r="F24" s="16"/>
      <c r="G24" s="16"/>
      <c r="H24" s="16"/>
      <c r="I24" s="16"/>
      <c r="J24" s="16"/>
      <c r="K24" s="43"/>
      <c r="L24" s="44"/>
      <c r="M24" s="25"/>
    </row>
    <row r="25" spans="1:13" ht="14.5" customHeight="1">
      <c r="A25" s="160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3"/>
    </row>
    <row r="26" spans="1:13" ht="14.5" customHeight="1">
      <c r="A26" s="96" t="s">
        <v>615</v>
      </c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8"/>
    </row>
    <row r="27" spans="1:13" ht="14.5" customHeight="1">
      <c r="A27" s="158" t="s">
        <v>685</v>
      </c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9"/>
    </row>
    <row r="28" spans="1:13" ht="14.5" customHeight="1">
      <c r="A28" s="15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9"/>
    </row>
    <row r="29" spans="1:13" ht="14.5" customHeight="1">
      <c r="A29" s="15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9"/>
    </row>
    <row r="30" spans="1:13" ht="14.5" customHeight="1">
      <c r="A30" s="15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9"/>
    </row>
    <row r="31" spans="1:13" ht="14.5" customHeight="1">
      <c r="A31" s="67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6"/>
    </row>
    <row r="32" spans="1:13" ht="14.5" customHeight="1">
      <c r="A32" s="158" t="s">
        <v>683</v>
      </c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9"/>
    </row>
    <row r="33" spans="1:13" ht="14.5" customHeight="1">
      <c r="A33" s="58" t="s">
        <v>669</v>
      </c>
      <c r="B33" s="59"/>
      <c r="C33" s="59"/>
      <c r="D33" s="63" t="s">
        <v>670</v>
      </c>
      <c r="E33" s="59"/>
      <c r="F33" s="59"/>
      <c r="G33" s="59"/>
      <c r="H33" s="59"/>
      <c r="I33" s="59"/>
      <c r="J33" s="59"/>
      <c r="K33" s="59"/>
      <c r="L33" s="59"/>
      <c r="M33" s="60"/>
    </row>
    <row r="34" spans="1:13" ht="14.5" customHeight="1">
      <c r="A34" s="61" t="s">
        <v>661</v>
      </c>
      <c r="B34" s="62"/>
      <c r="C34" s="53"/>
      <c r="D34" s="161" t="s">
        <v>671</v>
      </c>
      <c r="E34" s="161"/>
      <c r="F34" s="161"/>
      <c r="G34" s="161"/>
      <c r="H34" s="161"/>
      <c r="I34" s="161"/>
      <c r="J34" s="161"/>
      <c r="K34" s="161"/>
      <c r="L34" s="161"/>
      <c r="M34" s="46"/>
    </row>
    <row r="35" spans="1:13" ht="14.5" customHeight="1">
      <c r="A35" s="61"/>
      <c r="B35" s="62"/>
      <c r="C35" s="53"/>
      <c r="D35" s="161"/>
      <c r="E35" s="161"/>
      <c r="F35" s="161"/>
      <c r="G35" s="161"/>
      <c r="H35" s="161"/>
      <c r="I35" s="161"/>
      <c r="J35" s="161"/>
      <c r="K35" s="161"/>
      <c r="L35" s="161"/>
      <c r="M35" s="46"/>
    </row>
    <row r="36" spans="1:13" ht="14.5" customHeight="1">
      <c r="A36" s="52"/>
      <c r="B36" s="56"/>
      <c r="C36" s="53"/>
      <c r="D36" s="161"/>
      <c r="E36" s="161"/>
      <c r="F36" s="161"/>
      <c r="G36" s="161"/>
      <c r="H36" s="161"/>
      <c r="I36" s="161"/>
      <c r="J36" s="161"/>
      <c r="K36" s="161"/>
      <c r="L36" s="161"/>
      <c r="M36" s="46"/>
    </row>
    <row r="37" spans="1:13" ht="14.5" customHeight="1">
      <c r="A37" s="52"/>
      <c r="B37" s="56"/>
      <c r="C37" s="53"/>
      <c r="D37" s="64"/>
      <c r="E37" s="64"/>
      <c r="F37" s="64"/>
      <c r="G37" s="64"/>
      <c r="H37" s="64"/>
      <c r="I37" s="64"/>
      <c r="J37" s="64"/>
      <c r="K37" s="64"/>
      <c r="L37" s="64"/>
      <c r="M37" s="46"/>
    </row>
    <row r="38" spans="1:13" ht="14.5" customHeight="1">
      <c r="A38" s="53" t="s">
        <v>682</v>
      </c>
      <c r="B38" s="56"/>
      <c r="C38" s="53"/>
      <c r="D38" t="s">
        <v>684</v>
      </c>
      <c r="E38" s="64"/>
      <c r="F38" s="64"/>
      <c r="G38" s="64"/>
      <c r="H38" s="64"/>
      <c r="I38" s="64"/>
      <c r="J38" s="64"/>
      <c r="K38" s="64"/>
      <c r="L38" s="64"/>
      <c r="M38" s="46"/>
    </row>
    <row r="39" spans="1:13" ht="14.5" customHeight="1">
      <c r="A39" s="53"/>
      <c r="B39" s="56"/>
      <c r="C39" s="53"/>
      <c r="D39" s="68" t="s">
        <v>686</v>
      </c>
      <c r="E39" s="64"/>
      <c r="F39" s="64"/>
      <c r="G39" s="64"/>
      <c r="H39" s="64"/>
      <c r="I39" s="64"/>
      <c r="J39" s="64"/>
      <c r="K39" s="64"/>
      <c r="L39" s="64"/>
      <c r="M39" s="46"/>
    </row>
    <row r="40" spans="1:13" ht="14.5" customHeight="1">
      <c r="A40" s="53"/>
      <c r="B40" s="56"/>
      <c r="C40" s="53"/>
      <c r="D40" s="68" t="s">
        <v>687</v>
      </c>
      <c r="E40" s="64"/>
      <c r="F40" s="64"/>
      <c r="G40" s="64"/>
      <c r="H40" s="64"/>
      <c r="I40" s="64"/>
      <c r="J40" s="64"/>
      <c r="K40" s="64"/>
      <c r="L40" s="64"/>
      <c r="M40" s="46"/>
    </row>
    <row r="41" spans="1:13" ht="14.5" customHeight="1">
      <c r="A41" s="55"/>
      <c r="B41" s="56"/>
      <c r="C41" s="53"/>
      <c r="D41" s="57"/>
      <c r="E41" s="57"/>
      <c r="F41" s="57"/>
      <c r="G41" s="57"/>
      <c r="H41" s="57"/>
      <c r="I41" s="57"/>
      <c r="J41" s="57"/>
      <c r="K41" s="57"/>
      <c r="L41" s="57"/>
      <c r="M41" s="46"/>
    </row>
    <row r="42" spans="1:13" ht="14.5" customHeight="1">
      <c r="A42" s="166" t="s">
        <v>627</v>
      </c>
      <c r="B42" s="167"/>
      <c r="C42" s="53"/>
      <c r="D42" s="161" t="s">
        <v>672</v>
      </c>
      <c r="E42" s="162"/>
      <c r="F42" s="162"/>
      <c r="G42" s="162"/>
      <c r="H42" s="162"/>
      <c r="I42" s="162"/>
      <c r="J42" s="162"/>
      <c r="K42" s="162"/>
      <c r="L42" s="162"/>
      <c r="M42" s="46"/>
    </row>
    <row r="43" spans="1:13" ht="14.5" customHeight="1">
      <c r="A43" s="166"/>
      <c r="B43" s="167"/>
      <c r="C43" s="53"/>
      <c r="D43" s="162"/>
      <c r="E43" s="162"/>
      <c r="F43" s="162"/>
      <c r="G43" s="162"/>
      <c r="H43" s="162"/>
      <c r="I43" s="162"/>
      <c r="J43" s="162"/>
      <c r="K43" s="162"/>
      <c r="L43" s="162"/>
      <c r="M43" s="46"/>
    </row>
    <row r="44" spans="1:13" ht="14.5" customHeight="1">
      <c r="A44" s="52"/>
      <c r="B44" s="53"/>
      <c r="C44" s="53"/>
      <c r="D44" s="162"/>
      <c r="E44" s="162"/>
      <c r="F44" s="162"/>
      <c r="G44" s="162"/>
      <c r="H44" s="162"/>
      <c r="I44" s="162"/>
      <c r="J44" s="162"/>
      <c r="K44" s="162"/>
      <c r="L44" s="162"/>
      <c r="M44" s="46"/>
    </row>
    <row r="45" spans="1:13" ht="14.5" customHeight="1">
      <c r="A45" s="52"/>
      <c r="B45" s="53"/>
      <c r="C45" s="53"/>
      <c r="D45" s="162"/>
      <c r="E45" s="162"/>
      <c r="F45" s="162"/>
      <c r="G45" s="162"/>
      <c r="H45" s="162"/>
      <c r="I45" s="162"/>
      <c r="J45" s="162"/>
      <c r="K45" s="162"/>
      <c r="L45" s="162"/>
      <c r="M45" s="46"/>
    </row>
    <row r="46" spans="1:13" ht="14.5" customHeight="1">
      <c r="A46" s="52" t="s">
        <v>628</v>
      </c>
      <c r="B46" s="53"/>
      <c r="C46" s="53"/>
      <c r="D46" s="161" t="s">
        <v>673</v>
      </c>
      <c r="E46" s="162"/>
      <c r="F46" s="162"/>
      <c r="G46" s="162"/>
      <c r="H46" s="162"/>
      <c r="I46" s="162"/>
      <c r="J46" s="162"/>
      <c r="K46" s="162"/>
      <c r="L46" s="162"/>
      <c r="M46" s="163"/>
    </row>
    <row r="47" spans="1:13" ht="14.5" customHeight="1">
      <c r="A47" s="52"/>
      <c r="B47" s="53"/>
      <c r="C47" s="53"/>
      <c r="D47" s="162"/>
      <c r="E47" s="162"/>
      <c r="F47" s="162"/>
      <c r="G47" s="162"/>
      <c r="H47" s="162"/>
      <c r="I47" s="162"/>
      <c r="J47" s="162"/>
      <c r="K47" s="162"/>
      <c r="L47" s="162"/>
      <c r="M47" s="163"/>
    </row>
    <row r="48" spans="1:13" ht="14.5" customHeight="1">
      <c r="A48" s="52"/>
      <c r="B48" s="53"/>
      <c r="C48" s="53"/>
      <c r="D48" s="162"/>
      <c r="E48" s="162"/>
      <c r="F48" s="162"/>
      <c r="G48" s="162"/>
      <c r="H48" s="162"/>
      <c r="I48" s="162"/>
      <c r="J48" s="162"/>
      <c r="K48" s="162"/>
      <c r="L48" s="162"/>
      <c r="M48" s="163"/>
    </row>
    <row r="49" spans="1:13" ht="14.5" customHeight="1">
      <c r="A49" s="52"/>
      <c r="B49" s="53"/>
      <c r="C49" s="53"/>
      <c r="D49" s="162"/>
      <c r="E49" s="162"/>
      <c r="F49" s="162"/>
      <c r="G49" s="162"/>
      <c r="H49" s="162"/>
      <c r="I49" s="162"/>
      <c r="J49" s="162"/>
      <c r="K49" s="162"/>
      <c r="L49" s="162"/>
      <c r="M49" s="163"/>
    </row>
    <row r="50" spans="1:13" ht="14.5" customHeight="1">
      <c r="A50" s="52"/>
      <c r="B50" s="53"/>
      <c r="C50" s="53"/>
      <c r="D50" s="49"/>
      <c r="E50" s="49"/>
      <c r="F50" s="49"/>
      <c r="G50" s="49"/>
      <c r="H50" s="50"/>
      <c r="I50" s="50"/>
      <c r="J50" s="50"/>
      <c r="K50" s="50"/>
      <c r="L50" s="50"/>
      <c r="M50" s="46"/>
    </row>
    <row r="51" spans="1:13" ht="14.5" customHeight="1">
      <c r="A51" s="52" t="s">
        <v>674</v>
      </c>
      <c r="B51" s="53"/>
      <c r="C51" s="53"/>
      <c r="D51" s="164" t="s">
        <v>675</v>
      </c>
      <c r="E51" s="165"/>
      <c r="F51" s="165"/>
      <c r="G51" s="165"/>
      <c r="H51" s="165"/>
      <c r="I51" s="165"/>
      <c r="J51" s="165"/>
      <c r="K51" s="165"/>
      <c r="L51" s="165"/>
      <c r="M51" s="46"/>
    </row>
    <row r="52" spans="1:13" ht="14.5" customHeight="1">
      <c r="A52" s="52"/>
      <c r="B52" s="53"/>
      <c r="C52" s="53"/>
      <c r="D52" s="165"/>
      <c r="E52" s="165"/>
      <c r="F52" s="165"/>
      <c r="G52" s="165"/>
      <c r="H52" s="165"/>
      <c r="I52" s="165"/>
      <c r="J52" s="165"/>
      <c r="K52" s="165"/>
      <c r="L52" s="165"/>
      <c r="M52" s="46"/>
    </row>
    <row r="53" spans="1:13" ht="14.5" customHeight="1">
      <c r="A53" s="54"/>
      <c r="B53" s="45"/>
      <c r="C53" s="45"/>
      <c r="D53" s="165"/>
      <c r="E53" s="165"/>
      <c r="F53" s="165"/>
      <c r="G53" s="165"/>
      <c r="H53" s="165"/>
      <c r="I53" s="165"/>
      <c r="J53" s="165"/>
      <c r="K53" s="165"/>
      <c r="L53" s="165"/>
      <c r="M53" s="46"/>
    </row>
    <row r="54" spans="1:13">
      <c r="A54" s="5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/>
    </row>
    <row r="55" spans="1:13">
      <c r="A55" s="96" t="s">
        <v>668</v>
      </c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8"/>
    </row>
    <row r="56" spans="1:13">
      <c r="A56" s="158" t="s">
        <v>688</v>
      </c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9"/>
    </row>
    <row r="57" spans="1:13" ht="14.5" thickBot="1">
      <c r="A57" s="159"/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1"/>
    </row>
  </sheetData>
  <mergeCells count="25">
    <mergeCell ref="A56:M57"/>
    <mergeCell ref="A55:M55"/>
    <mergeCell ref="C19:D19"/>
    <mergeCell ref="E19:G19"/>
    <mergeCell ref="A25:M25"/>
    <mergeCell ref="A26:M26"/>
    <mergeCell ref="D46:M49"/>
    <mergeCell ref="D51:L53"/>
    <mergeCell ref="A42:B43"/>
    <mergeCell ref="D34:L36"/>
    <mergeCell ref="D42:L45"/>
    <mergeCell ref="A27:M30"/>
    <mergeCell ref="A32:M32"/>
    <mergeCell ref="C14:K14"/>
    <mergeCell ref="C16:F16"/>
    <mergeCell ref="I16:J16"/>
    <mergeCell ref="C17:F18"/>
    <mergeCell ref="G17:G18"/>
    <mergeCell ref="H17:K18"/>
    <mergeCell ref="A11:M12"/>
    <mergeCell ref="A1:M2"/>
    <mergeCell ref="A3:M3"/>
    <mergeCell ref="A4:M4"/>
    <mergeCell ref="A5:M9"/>
    <mergeCell ref="A10:M1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3E424-8F85-4290-8F6D-73167782CFC6}">
  <sheetPr codeName="Tabelle9">
    <tabColor theme="9" tint="0.39997558519241921"/>
  </sheetPr>
  <dimension ref="A1:V101"/>
  <sheetViews>
    <sheetView topLeftCell="L1" workbookViewId="0"/>
  </sheetViews>
  <sheetFormatPr baseColWidth="10" defaultColWidth="8.6640625" defaultRowHeight="14"/>
  <cols>
    <col min="1" max="1" width="10" customWidth="1"/>
    <col min="2" max="2" width="18" customWidth="1"/>
    <col min="3" max="3" width="12" customWidth="1"/>
    <col min="4" max="4" width="14" customWidth="1"/>
    <col min="5" max="5" width="27" customWidth="1"/>
    <col min="6" max="6" width="22" customWidth="1"/>
    <col min="7" max="7" width="13" customWidth="1"/>
    <col min="8" max="8" width="12" customWidth="1"/>
    <col min="9" max="9" width="16" customWidth="1"/>
    <col min="10" max="10" width="13" customWidth="1"/>
    <col min="11" max="11" width="15" customWidth="1"/>
    <col min="12" max="12" width="14" customWidth="1"/>
    <col min="13" max="13" width="16" customWidth="1"/>
    <col min="14" max="14" width="12" customWidth="1"/>
    <col min="15" max="15" width="18" customWidth="1"/>
    <col min="16" max="16" width="24" customWidth="1"/>
    <col min="17" max="17" width="18" customWidth="1"/>
    <col min="18" max="18" width="19" customWidth="1"/>
    <col min="19" max="19" width="20" customWidth="1"/>
    <col min="20" max="20" width="16" customWidth="1"/>
    <col min="21" max="21" width="19" customWidth="1"/>
    <col min="22" max="22" width="36.4140625" bestFit="1" customWidth="1"/>
  </cols>
  <sheetData>
    <row r="1" spans="1:22" ht="2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5" t="s">
        <v>616</v>
      </c>
      <c r="R1" s="5" t="s">
        <v>619</v>
      </c>
      <c r="S1" s="5" t="s">
        <v>617</v>
      </c>
      <c r="T1" s="5" t="s">
        <v>618</v>
      </c>
      <c r="U1" s="5" t="s">
        <v>676</v>
      </c>
      <c r="V1" t="s">
        <v>677</v>
      </c>
    </row>
    <row r="2" spans="1:22">
      <c r="A2" s="6" t="s">
        <v>341</v>
      </c>
      <c r="B2" s="6" t="s">
        <v>16</v>
      </c>
      <c r="C2" s="6" t="s">
        <v>83</v>
      </c>
      <c r="D2" s="6" t="s">
        <v>105</v>
      </c>
      <c r="E2" s="6" t="s">
        <v>106</v>
      </c>
      <c r="F2" s="6" t="s">
        <v>322</v>
      </c>
      <c r="G2" s="6" t="s">
        <v>342</v>
      </c>
      <c r="H2" s="6" t="s">
        <v>343</v>
      </c>
      <c r="I2" s="6" t="s">
        <v>108</v>
      </c>
      <c r="J2" s="6" t="s">
        <v>24</v>
      </c>
      <c r="K2" s="6" t="s">
        <v>25</v>
      </c>
      <c r="L2" s="6" t="s">
        <v>344</v>
      </c>
      <c r="M2" s="6" t="s">
        <v>27</v>
      </c>
      <c r="N2" s="6" t="s">
        <v>28</v>
      </c>
      <c r="O2" s="6" t="s">
        <v>67</v>
      </c>
      <c r="P2" s="6" t="s">
        <v>68</v>
      </c>
      <c r="Q2" s="6" t="s">
        <v>620</v>
      </c>
      <c r="R2" s="6" t="s">
        <v>621</v>
      </c>
      <c r="S2" s="6" t="s">
        <v>621</v>
      </c>
      <c r="T2" s="6" t="s">
        <v>621</v>
      </c>
      <c r="U2" s="6" t="s">
        <v>625</v>
      </c>
      <c r="V2" s="2" t="s">
        <v>622</v>
      </c>
    </row>
    <row r="3" spans="1:22">
      <c r="A3" s="6" t="s">
        <v>345</v>
      </c>
      <c r="B3" s="6" t="s">
        <v>16</v>
      </c>
      <c r="C3" s="6" t="s">
        <v>109</v>
      </c>
      <c r="D3" s="6" t="s">
        <v>302</v>
      </c>
      <c r="E3" s="6" t="s">
        <v>111</v>
      </c>
      <c r="F3" s="6" t="s">
        <v>323</v>
      </c>
      <c r="G3" s="6" t="s">
        <v>346</v>
      </c>
      <c r="H3" s="6" t="s">
        <v>59</v>
      </c>
      <c r="I3" s="6" t="s">
        <v>60</v>
      </c>
      <c r="J3" s="6" t="s">
        <v>24</v>
      </c>
      <c r="K3" s="6" t="s">
        <v>50</v>
      </c>
      <c r="L3" s="6" t="s">
        <v>347</v>
      </c>
      <c r="M3" s="6" t="s">
        <v>27</v>
      </c>
      <c r="N3" s="6" t="s">
        <v>41</v>
      </c>
      <c r="O3" s="6" t="s">
        <v>42</v>
      </c>
      <c r="P3" s="6" t="s">
        <v>43</v>
      </c>
      <c r="Q3" s="6" t="s">
        <v>620</v>
      </c>
      <c r="R3" s="6" t="s">
        <v>621</v>
      </c>
      <c r="S3" s="6" t="s">
        <v>621</v>
      </c>
      <c r="T3" s="6" t="s">
        <v>621</v>
      </c>
      <c r="U3" s="6" t="s">
        <v>625</v>
      </c>
      <c r="V3" s="2" t="s">
        <v>622</v>
      </c>
    </row>
    <row r="4" spans="1:22">
      <c r="A4" s="6" t="s">
        <v>348</v>
      </c>
      <c r="B4" s="6" t="s">
        <v>16</v>
      </c>
      <c r="C4" s="6" t="s">
        <v>113</v>
      </c>
      <c r="D4" s="6" t="s">
        <v>324</v>
      </c>
      <c r="E4" s="6" t="s">
        <v>115</v>
      </c>
      <c r="F4" s="6" t="s">
        <v>325</v>
      </c>
      <c r="G4" s="6" t="s">
        <v>349</v>
      </c>
      <c r="H4" s="6" t="s">
        <v>350</v>
      </c>
      <c r="I4" s="6" t="s">
        <v>117</v>
      </c>
      <c r="J4" s="6" t="s">
        <v>24</v>
      </c>
      <c r="K4" s="6" t="s">
        <v>39</v>
      </c>
      <c r="L4" s="6" t="s">
        <v>351</v>
      </c>
      <c r="M4" s="6" t="s">
        <v>62</v>
      </c>
      <c r="N4" s="6"/>
      <c r="O4" s="6"/>
      <c r="P4" s="6"/>
      <c r="Q4" s="6" t="s">
        <v>620</v>
      </c>
      <c r="R4" s="6" t="s">
        <v>621</v>
      </c>
      <c r="S4" s="6" t="s">
        <v>621</v>
      </c>
      <c r="T4" s="6" t="s">
        <v>621</v>
      </c>
      <c r="U4" s="6" t="s">
        <v>625</v>
      </c>
      <c r="V4" s="2" t="s">
        <v>622</v>
      </c>
    </row>
    <row r="5" spans="1:22">
      <c r="A5" s="6" t="s">
        <v>352</v>
      </c>
      <c r="B5" s="6" t="s">
        <v>16</v>
      </c>
      <c r="C5" s="6" t="s">
        <v>118</v>
      </c>
      <c r="D5" s="6" t="s">
        <v>119</v>
      </c>
      <c r="E5" s="6" t="s">
        <v>120</v>
      </c>
      <c r="F5" s="6" t="s">
        <v>95</v>
      </c>
      <c r="G5" s="6" t="s">
        <v>353</v>
      </c>
      <c r="H5" s="6" t="s">
        <v>354</v>
      </c>
      <c r="I5" s="6" t="s">
        <v>303</v>
      </c>
      <c r="J5" s="6" t="s">
        <v>24</v>
      </c>
      <c r="K5" s="6" t="s">
        <v>47</v>
      </c>
      <c r="L5" s="6" t="s">
        <v>355</v>
      </c>
      <c r="M5" s="6" t="s">
        <v>27</v>
      </c>
      <c r="N5" s="6" t="s">
        <v>28</v>
      </c>
      <c r="O5" s="6" t="s">
        <v>73</v>
      </c>
      <c r="P5" s="6" t="s">
        <v>74</v>
      </c>
      <c r="Q5" s="6" t="s">
        <v>620</v>
      </c>
      <c r="R5" s="6" t="s">
        <v>621</v>
      </c>
      <c r="S5" s="6" t="s">
        <v>621</v>
      </c>
      <c r="T5" s="6" t="s">
        <v>621</v>
      </c>
      <c r="U5" s="6" t="s">
        <v>625</v>
      </c>
      <c r="V5" s="2" t="s">
        <v>622</v>
      </c>
    </row>
    <row r="6" spans="1:22">
      <c r="A6" s="6" t="s">
        <v>356</v>
      </c>
      <c r="B6" s="6" t="s">
        <v>16</v>
      </c>
      <c r="C6" s="6" t="s">
        <v>83</v>
      </c>
      <c r="D6" s="6" t="s">
        <v>84</v>
      </c>
      <c r="E6" s="6" t="s">
        <v>85</v>
      </c>
      <c r="F6" s="6" t="s">
        <v>86</v>
      </c>
      <c r="G6" s="6" t="s">
        <v>124</v>
      </c>
      <c r="H6" s="6" t="s">
        <v>88</v>
      </c>
      <c r="I6" s="6" t="s">
        <v>89</v>
      </c>
      <c r="J6" s="6" t="s">
        <v>24</v>
      </c>
      <c r="K6" s="6" t="s">
        <v>25</v>
      </c>
      <c r="L6" s="6" t="s">
        <v>357</v>
      </c>
      <c r="M6" s="6" t="s">
        <v>27</v>
      </c>
      <c r="N6" s="6" t="s">
        <v>41</v>
      </c>
      <c r="O6" s="6" t="s">
        <v>67</v>
      </c>
      <c r="P6" s="6" t="s">
        <v>68</v>
      </c>
      <c r="Q6" s="6" t="s">
        <v>620</v>
      </c>
      <c r="R6" s="6" t="s">
        <v>621</v>
      </c>
      <c r="S6" s="6" t="s">
        <v>621</v>
      </c>
      <c r="T6" s="6" t="s">
        <v>621</v>
      </c>
      <c r="U6" s="6" t="s">
        <v>625</v>
      </c>
      <c r="V6" s="2" t="s">
        <v>622</v>
      </c>
    </row>
    <row r="7" spans="1:22">
      <c r="A7" s="6" t="s">
        <v>358</v>
      </c>
      <c r="B7" s="6" t="s">
        <v>16</v>
      </c>
      <c r="C7" s="6" t="s">
        <v>125</v>
      </c>
      <c r="D7" s="6" t="s">
        <v>304</v>
      </c>
      <c r="E7" s="6" t="s">
        <v>127</v>
      </c>
      <c r="F7" s="6" t="s">
        <v>57</v>
      </c>
      <c r="G7" s="6" t="s">
        <v>359</v>
      </c>
      <c r="H7" s="6" t="s">
        <v>360</v>
      </c>
      <c r="I7" s="6" t="s">
        <v>129</v>
      </c>
      <c r="J7" s="6" t="s">
        <v>24</v>
      </c>
      <c r="K7" s="6" t="s">
        <v>25</v>
      </c>
      <c r="L7" s="6" t="s">
        <v>361</v>
      </c>
      <c r="M7" s="6" t="s">
        <v>62</v>
      </c>
      <c r="N7" s="6"/>
      <c r="O7" s="6"/>
      <c r="P7" s="6"/>
      <c r="Q7" s="6" t="s">
        <v>620</v>
      </c>
      <c r="R7" s="6" t="s">
        <v>621</v>
      </c>
      <c r="S7" s="6" t="s">
        <v>621</v>
      </c>
      <c r="T7" s="6" t="s">
        <v>621</v>
      </c>
      <c r="U7" s="6" t="s">
        <v>625</v>
      </c>
      <c r="V7" s="2" t="s">
        <v>622</v>
      </c>
    </row>
    <row r="8" spans="1:22">
      <c r="A8" s="6" t="s">
        <v>36</v>
      </c>
      <c r="B8" s="6" t="s">
        <v>16</v>
      </c>
      <c r="C8" s="6" t="s">
        <v>17</v>
      </c>
      <c r="D8" s="6" t="s">
        <v>18</v>
      </c>
      <c r="E8" s="6" t="s">
        <v>19</v>
      </c>
      <c r="F8" s="6" t="s">
        <v>20</v>
      </c>
      <c r="G8" s="6" t="s">
        <v>21</v>
      </c>
      <c r="H8" s="6" t="s">
        <v>22</v>
      </c>
      <c r="I8" s="6" t="s">
        <v>23</v>
      </c>
      <c r="J8" s="6" t="s">
        <v>24</v>
      </c>
      <c r="K8" s="6" t="s">
        <v>25</v>
      </c>
      <c r="L8" s="6" t="s">
        <v>26</v>
      </c>
      <c r="M8" s="6" t="s">
        <v>27</v>
      </c>
      <c r="N8" s="6" t="s">
        <v>28</v>
      </c>
      <c r="O8" s="6" t="s">
        <v>29</v>
      </c>
      <c r="P8" s="6" t="s">
        <v>30</v>
      </c>
      <c r="Q8" s="6" t="s">
        <v>620</v>
      </c>
      <c r="R8" s="6" t="s">
        <v>621</v>
      </c>
      <c r="S8" s="6" t="s">
        <v>621</v>
      </c>
      <c r="T8" s="6" t="s">
        <v>621</v>
      </c>
      <c r="U8" s="6" t="s">
        <v>625</v>
      </c>
      <c r="V8" s="2" t="s">
        <v>622</v>
      </c>
    </row>
    <row r="9" spans="1:22">
      <c r="A9" s="6" t="s">
        <v>362</v>
      </c>
      <c r="B9" s="6" t="s">
        <v>16</v>
      </c>
      <c r="C9" s="6" t="s">
        <v>132</v>
      </c>
      <c r="D9" s="6" t="s">
        <v>133</v>
      </c>
      <c r="E9" s="6" t="s">
        <v>134</v>
      </c>
      <c r="F9" s="6" t="s">
        <v>326</v>
      </c>
      <c r="G9" s="6" t="s">
        <v>363</v>
      </c>
      <c r="H9" s="6" t="s">
        <v>364</v>
      </c>
      <c r="I9" s="6" t="s">
        <v>136</v>
      </c>
      <c r="J9" s="6" t="s">
        <v>24</v>
      </c>
      <c r="K9" s="6" t="s">
        <v>39</v>
      </c>
      <c r="L9" s="6" t="s">
        <v>365</v>
      </c>
      <c r="M9" s="6" t="s">
        <v>27</v>
      </c>
      <c r="N9" s="6" t="s">
        <v>41</v>
      </c>
      <c r="O9" s="6" t="s">
        <v>73</v>
      </c>
      <c r="P9" s="6" t="s">
        <v>74</v>
      </c>
      <c r="Q9" s="6" t="s">
        <v>620</v>
      </c>
      <c r="R9" s="6" t="s">
        <v>621</v>
      </c>
      <c r="S9" s="6" t="s">
        <v>621</v>
      </c>
      <c r="T9" s="6" t="s">
        <v>621</v>
      </c>
      <c r="U9" s="6" t="s">
        <v>625</v>
      </c>
      <c r="V9" s="2" t="s">
        <v>622</v>
      </c>
    </row>
    <row r="10" spans="1:22">
      <c r="A10" s="6" t="s">
        <v>366</v>
      </c>
      <c r="B10" s="6" t="s">
        <v>16</v>
      </c>
      <c r="C10" s="6" t="s">
        <v>137</v>
      </c>
      <c r="D10" s="6" t="s">
        <v>305</v>
      </c>
      <c r="E10" s="6" t="s">
        <v>139</v>
      </c>
      <c r="F10" s="6" t="s">
        <v>327</v>
      </c>
      <c r="G10" s="6" t="s">
        <v>367</v>
      </c>
      <c r="H10" s="6" t="s">
        <v>368</v>
      </c>
      <c r="I10" s="6" t="s">
        <v>306</v>
      </c>
      <c r="J10" s="6" t="s">
        <v>24</v>
      </c>
      <c r="K10" s="6" t="s">
        <v>47</v>
      </c>
      <c r="L10" s="6" t="s">
        <v>369</v>
      </c>
      <c r="M10" s="6" t="s">
        <v>62</v>
      </c>
      <c r="N10" s="6"/>
      <c r="O10" s="6"/>
      <c r="P10" s="6"/>
      <c r="Q10" s="6" t="s">
        <v>620</v>
      </c>
      <c r="R10" s="6" t="s">
        <v>621</v>
      </c>
      <c r="S10" s="6" t="s">
        <v>621</v>
      </c>
      <c r="T10" s="6" t="s">
        <v>621</v>
      </c>
      <c r="U10" s="6" t="s">
        <v>625</v>
      </c>
      <c r="V10" s="2" t="s">
        <v>622</v>
      </c>
    </row>
    <row r="11" spans="1:22">
      <c r="A11" s="6" t="s">
        <v>370</v>
      </c>
      <c r="B11" s="6" t="s">
        <v>16</v>
      </c>
      <c r="C11" s="6" t="s">
        <v>142</v>
      </c>
      <c r="D11" s="6" t="s">
        <v>307</v>
      </c>
      <c r="E11" s="6" t="s">
        <v>144</v>
      </c>
      <c r="F11" s="6" t="s">
        <v>20</v>
      </c>
      <c r="G11" s="6" t="s">
        <v>371</v>
      </c>
      <c r="H11" s="6" t="s">
        <v>372</v>
      </c>
      <c r="I11" s="6" t="s">
        <v>145</v>
      </c>
      <c r="J11" s="6" t="s">
        <v>24</v>
      </c>
      <c r="K11" s="6" t="s">
        <v>90</v>
      </c>
      <c r="L11" s="6" t="s">
        <v>373</v>
      </c>
      <c r="M11" s="6" t="s">
        <v>27</v>
      </c>
      <c r="N11" s="6" t="s">
        <v>28</v>
      </c>
      <c r="O11" s="6" t="s">
        <v>42</v>
      </c>
      <c r="P11" s="6" t="s">
        <v>43</v>
      </c>
      <c r="Q11" s="6" t="s">
        <v>620</v>
      </c>
      <c r="R11" s="6" t="s">
        <v>621</v>
      </c>
      <c r="S11" s="6" t="s">
        <v>621</v>
      </c>
      <c r="T11" s="6" t="s">
        <v>621</v>
      </c>
      <c r="U11" s="6" t="s">
        <v>625</v>
      </c>
      <c r="V11" s="2" t="s">
        <v>622</v>
      </c>
    </row>
    <row r="12" spans="1:22">
      <c r="A12" s="6" t="s">
        <v>374</v>
      </c>
      <c r="B12" s="6" t="s">
        <v>16</v>
      </c>
      <c r="C12" s="6" t="s">
        <v>146</v>
      </c>
      <c r="D12" s="6" t="s">
        <v>33</v>
      </c>
      <c r="E12" s="6" t="s">
        <v>148</v>
      </c>
      <c r="F12" s="6" t="s">
        <v>328</v>
      </c>
      <c r="G12" s="6" t="s">
        <v>375</v>
      </c>
      <c r="H12" s="6" t="s">
        <v>376</v>
      </c>
      <c r="I12" s="6" t="s">
        <v>308</v>
      </c>
      <c r="J12" s="6" t="s">
        <v>24</v>
      </c>
      <c r="K12" s="6" t="s">
        <v>25</v>
      </c>
      <c r="L12" s="6" t="s">
        <v>377</v>
      </c>
      <c r="M12" s="6" t="s">
        <v>27</v>
      </c>
      <c r="N12" s="6" t="s">
        <v>41</v>
      </c>
      <c r="O12" s="6" t="s">
        <v>29</v>
      </c>
      <c r="P12" s="6" t="s">
        <v>30</v>
      </c>
      <c r="Q12" s="6" t="s">
        <v>620</v>
      </c>
      <c r="R12" s="6" t="s">
        <v>621</v>
      </c>
      <c r="S12" s="6" t="s">
        <v>621</v>
      </c>
      <c r="T12" s="6" t="s">
        <v>621</v>
      </c>
      <c r="U12" s="6" t="s">
        <v>625</v>
      </c>
      <c r="V12" s="2" t="s">
        <v>622</v>
      </c>
    </row>
    <row r="13" spans="1:22">
      <c r="A13" s="6" t="s">
        <v>46</v>
      </c>
      <c r="B13" s="6" t="s">
        <v>16</v>
      </c>
      <c r="C13" s="6" t="s">
        <v>151</v>
      </c>
      <c r="D13" s="6" t="s">
        <v>152</v>
      </c>
      <c r="E13" s="6" t="s">
        <v>153</v>
      </c>
      <c r="F13" s="6" t="s">
        <v>329</v>
      </c>
      <c r="G13" s="6" t="s">
        <v>378</v>
      </c>
      <c r="H13" s="6" t="s">
        <v>379</v>
      </c>
      <c r="I13" s="6" t="s">
        <v>155</v>
      </c>
      <c r="J13" s="6" t="s">
        <v>24</v>
      </c>
      <c r="K13" s="6" t="s">
        <v>50</v>
      </c>
      <c r="L13" s="6" t="s">
        <v>380</v>
      </c>
      <c r="M13" s="6" t="s">
        <v>62</v>
      </c>
      <c r="N13" s="6"/>
      <c r="O13" s="6"/>
      <c r="P13" s="6"/>
      <c r="Q13" s="6" t="s">
        <v>620</v>
      </c>
      <c r="R13" s="6" t="s">
        <v>621</v>
      </c>
      <c r="S13" s="6" t="s">
        <v>621</v>
      </c>
      <c r="T13" s="6" t="s">
        <v>621</v>
      </c>
      <c r="U13" s="6" t="s">
        <v>625</v>
      </c>
      <c r="V13" s="2" t="s">
        <v>622</v>
      </c>
    </row>
    <row r="14" spans="1:22">
      <c r="A14" s="6" t="s">
        <v>381</v>
      </c>
      <c r="B14" s="6" t="s">
        <v>31</v>
      </c>
      <c r="C14" s="6" t="s">
        <v>32</v>
      </c>
      <c r="D14" s="6" t="s">
        <v>309</v>
      </c>
      <c r="E14" s="6" t="s">
        <v>157</v>
      </c>
      <c r="F14" s="6" t="s">
        <v>330</v>
      </c>
      <c r="G14" s="6" t="s">
        <v>382</v>
      </c>
      <c r="H14" s="6" t="s">
        <v>37</v>
      </c>
      <c r="I14" s="6" t="s">
        <v>38</v>
      </c>
      <c r="J14" s="6" t="s">
        <v>24</v>
      </c>
      <c r="K14" s="6" t="s">
        <v>39</v>
      </c>
      <c r="L14" s="6" t="s">
        <v>383</v>
      </c>
      <c r="M14" s="6" t="s">
        <v>27</v>
      </c>
      <c r="N14" s="6" t="s">
        <v>28</v>
      </c>
      <c r="O14" s="6" t="s">
        <v>67</v>
      </c>
      <c r="P14" s="6" t="s">
        <v>68</v>
      </c>
      <c r="Q14" s="6" t="s">
        <v>620</v>
      </c>
      <c r="R14" s="6" t="s">
        <v>621</v>
      </c>
      <c r="S14" s="6" t="s">
        <v>621</v>
      </c>
      <c r="T14" s="6" t="s">
        <v>621</v>
      </c>
      <c r="U14" s="6" t="s">
        <v>625</v>
      </c>
      <c r="V14" s="2" t="s">
        <v>622</v>
      </c>
    </row>
    <row r="15" spans="1:22">
      <c r="A15" s="6" t="s">
        <v>384</v>
      </c>
      <c r="B15" s="6" t="s">
        <v>31</v>
      </c>
      <c r="C15" s="6" t="s">
        <v>32</v>
      </c>
      <c r="D15" s="6" t="s">
        <v>33</v>
      </c>
      <c r="E15" s="6" t="s">
        <v>34</v>
      </c>
      <c r="F15" s="6" t="s">
        <v>35</v>
      </c>
      <c r="G15" s="6" t="s">
        <v>36</v>
      </c>
      <c r="H15" s="6" t="s">
        <v>37</v>
      </c>
      <c r="I15" s="6" t="s">
        <v>38</v>
      </c>
      <c r="J15" s="6" t="s">
        <v>24</v>
      </c>
      <c r="K15" s="6" t="s">
        <v>39</v>
      </c>
      <c r="L15" s="6" t="s">
        <v>40</v>
      </c>
      <c r="M15" s="6" t="s">
        <v>27</v>
      </c>
      <c r="N15" s="6" t="s">
        <v>41</v>
      </c>
      <c r="O15" s="6" t="s">
        <v>42</v>
      </c>
      <c r="P15" s="6" t="s">
        <v>43</v>
      </c>
      <c r="Q15" s="6" t="s">
        <v>620</v>
      </c>
      <c r="R15" s="6" t="s">
        <v>621</v>
      </c>
      <c r="S15" s="6" t="s">
        <v>621</v>
      </c>
      <c r="T15" s="6" t="s">
        <v>621</v>
      </c>
      <c r="U15" s="6" t="s">
        <v>625</v>
      </c>
      <c r="V15" s="2" t="s">
        <v>622</v>
      </c>
    </row>
    <row r="16" spans="1:22">
      <c r="A16" s="6" t="s">
        <v>385</v>
      </c>
      <c r="B16" s="6" t="s">
        <v>16</v>
      </c>
      <c r="C16" s="6" t="s">
        <v>160</v>
      </c>
      <c r="D16" s="6" t="s">
        <v>310</v>
      </c>
      <c r="E16" s="6" t="s">
        <v>162</v>
      </c>
      <c r="F16" s="6" t="s">
        <v>331</v>
      </c>
      <c r="G16" s="6" t="s">
        <v>386</v>
      </c>
      <c r="H16" s="6" t="s">
        <v>387</v>
      </c>
      <c r="I16" s="6" t="s">
        <v>311</v>
      </c>
      <c r="J16" s="6" t="s">
        <v>24</v>
      </c>
      <c r="K16" s="6" t="s">
        <v>90</v>
      </c>
      <c r="L16" s="6" t="s">
        <v>388</v>
      </c>
      <c r="M16" s="6" t="s">
        <v>62</v>
      </c>
      <c r="N16" s="6"/>
      <c r="O16" s="6"/>
      <c r="P16" s="6"/>
      <c r="Q16" s="6" t="s">
        <v>620</v>
      </c>
      <c r="R16" s="6" t="s">
        <v>621</v>
      </c>
      <c r="S16" s="6" t="s">
        <v>621</v>
      </c>
      <c r="T16" s="6" t="s">
        <v>621</v>
      </c>
      <c r="U16" s="6" t="s">
        <v>625</v>
      </c>
      <c r="V16" s="2" t="s">
        <v>622</v>
      </c>
    </row>
    <row r="17" spans="1:22">
      <c r="A17" s="6" t="s">
        <v>389</v>
      </c>
      <c r="B17" s="6" t="s">
        <v>16</v>
      </c>
      <c r="C17" s="6" t="s">
        <v>165</v>
      </c>
      <c r="D17" s="6" t="s">
        <v>166</v>
      </c>
      <c r="E17" s="6" t="s">
        <v>167</v>
      </c>
      <c r="F17" s="6" t="s">
        <v>332</v>
      </c>
      <c r="G17" s="6" t="s">
        <v>390</v>
      </c>
      <c r="H17" s="6" t="s">
        <v>391</v>
      </c>
      <c r="I17" s="6" t="s">
        <v>169</v>
      </c>
      <c r="J17" s="6" t="s">
        <v>24</v>
      </c>
      <c r="K17" s="6" t="s">
        <v>25</v>
      </c>
      <c r="L17" s="6" t="s">
        <v>392</v>
      </c>
      <c r="M17" s="6" t="s">
        <v>27</v>
      </c>
      <c r="N17" s="6" t="s">
        <v>28</v>
      </c>
      <c r="O17" s="6" t="s">
        <v>73</v>
      </c>
      <c r="P17" s="6" t="s">
        <v>74</v>
      </c>
      <c r="Q17" s="6" t="s">
        <v>620</v>
      </c>
      <c r="R17" s="6" t="s">
        <v>621</v>
      </c>
      <c r="S17" s="6" t="s">
        <v>621</v>
      </c>
      <c r="T17" s="6" t="s">
        <v>621</v>
      </c>
      <c r="U17" s="6" t="s">
        <v>625</v>
      </c>
      <c r="V17" s="2" t="s">
        <v>622</v>
      </c>
    </row>
    <row r="18" spans="1:22">
      <c r="A18" s="6" t="s">
        <v>393</v>
      </c>
      <c r="B18" s="6" t="s">
        <v>16</v>
      </c>
      <c r="C18" s="6" t="s">
        <v>170</v>
      </c>
      <c r="D18" s="6" t="s">
        <v>84</v>
      </c>
      <c r="E18" s="6" t="s">
        <v>171</v>
      </c>
      <c r="F18" s="6" t="s">
        <v>333</v>
      </c>
      <c r="G18" s="6" t="s">
        <v>394</v>
      </c>
      <c r="H18" s="6" t="s">
        <v>395</v>
      </c>
      <c r="I18" s="6" t="s">
        <v>173</v>
      </c>
      <c r="J18" s="6" t="s">
        <v>24</v>
      </c>
      <c r="K18" s="6" t="s">
        <v>50</v>
      </c>
      <c r="L18" s="6" t="s">
        <v>396</v>
      </c>
      <c r="M18" s="6" t="s">
        <v>27</v>
      </c>
      <c r="N18" s="6" t="s">
        <v>41</v>
      </c>
      <c r="O18" s="6" t="s">
        <v>67</v>
      </c>
      <c r="P18" s="6" t="s">
        <v>68</v>
      </c>
      <c r="Q18" s="6" t="s">
        <v>620</v>
      </c>
      <c r="R18" s="6" t="s">
        <v>621</v>
      </c>
      <c r="S18" s="6" t="s">
        <v>621</v>
      </c>
      <c r="T18" s="6" t="s">
        <v>621</v>
      </c>
      <c r="U18" s="6" t="s">
        <v>625</v>
      </c>
      <c r="V18" s="2" t="s">
        <v>622</v>
      </c>
    </row>
    <row r="19" spans="1:22">
      <c r="A19" s="6" t="s">
        <v>21</v>
      </c>
      <c r="B19" s="6" t="s">
        <v>16</v>
      </c>
      <c r="C19" s="6" t="s">
        <v>174</v>
      </c>
      <c r="D19" s="6" t="s">
        <v>175</v>
      </c>
      <c r="E19" s="6" t="s">
        <v>176</v>
      </c>
      <c r="F19" s="6" t="s">
        <v>334</v>
      </c>
      <c r="G19" s="6" t="s">
        <v>397</v>
      </c>
      <c r="H19" s="6" t="s">
        <v>398</v>
      </c>
      <c r="I19" s="6" t="s">
        <v>178</v>
      </c>
      <c r="J19" s="6" t="s">
        <v>24</v>
      </c>
      <c r="K19" s="6" t="s">
        <v>39</v>
      </c>
      <c r="L19" s="6" t="s">
        <v>399</v>
      </c>
      <c r="M19" s="6" t="s">
        <v>62</v>
      </c>
      <c r="N19" s="6"/>
      <c r="O19" s="6"/>
      <c r="P19" s="6"/>
      <c r="Q19" s="6" t="s">
        <v>620</v>
      </c>
      <c r="R19" s="6" t="s">
        <v>621</v>
      </c>
      <c r="S19" s="6" t="s">
        <v>621</v>
      </c>
      <c r="T19" s="6" t="s">
        <v>621</v>
      </c>
      <c r="U19" s="6" t="s">
        <v>625</v>
      </c>
      <c r="V19" s="2" t="s">
        <v>622</v>
      </c>
    </row>
    <row r="20" spans="1:22">
      <c r="A20" s="6" t="s">
        <v>400</v>
      </c>
      <c r="B20" s="6" t="s">
        <v>16</v>
      </c>
      <c r="C20" s="6" t="s">
        <v>83</v>
      </c>
      <c r="D20" s="6" t="s">
        <v>84</v>
      </c>
      <c r="E20" s="6" t="s">
        <v>85</v>
      </c>
      <c r="F20" s="6" t="s">
        <v>312</v>
      </c>
      <c r="G20" s="6" t="s">
        <v>124</v>
      </c>
      <c r="H20" s="6" t="s">
        <v>88</v>
      </c>
      <c r="I20" s="6" t="s">
        <v>89</v>
      </c>
      <c r="J20" s="6" t="s">
        <v>24</v>
      </c>
      <c r="K20" s="6" t="s">
        <v>50</v>
      </c>
      <c r="L20" s="6" t="s">
        <v>401</v>
      </c>
      <c r="M20" s="6" t="s">
        <v>27</v>
      </c>
      <c r="N20" s="6" t="s">
        <v>28</v>
      </c>
      <c r="O20" s="6" t="s">
        <v>29</v>
      </c>
      <c r="P20" s="6" t="s">
        <v>30</v>
      </c>
      <c r="Q20" s="6" t="s">
        <v>620</v>
      </c>
      <c r="R20" s="6" t="s">
        <v>621</v>
      </c>
      <c r="S20" s="6" t="s">
        <v>621</v>
      </c>
      <c r="T20" s="6" t="s">
        <v>621</v>
      </c>
      <c r="U20" s="6" t="s">
        <v>625</v>
      </c>
      <c r="V20" s="2" t="s">
        <v>622</v>
      </c>
    </row>
    <row r="21" spans="1:22">
      <c r="A21" s="6" t="s">
        <v>402</v>
      </c>
      <c r="B21" s="6" t="s">
        <v>16</v>
      </c>
      <c r="C21" s="6" t="s">
        <v>180</v>
      </c>
      <c r="D21" s="6" t="s">
        <v>181</v>
      </c>
      <c r="E21" s="6" t="s">
        <v>182</v>
      </c>
      <c r="F21" s="6" t="s">
        <v>335</v>
      </c>
      <c r="G21" s="6" t="s">
        <v>403</v>
      </c>
      <c r="H21" s="6" t="s">
        <v>404</v>
      </c>
      <c r="I21" s="6" t="s">
        <v>313</v>
      </c>
      <c r="J21" s="6" t="s">
        <v>24</v>
      </c>
      <c r="K21" s="6" t="s">
        <v>90</v>
      </c>
      <c r="L21" s="6" t="s">
        <v>405</v>
      </c>
      <c r="M21" s="6" t="s">
        <v>27</v>
      </c>
      <c r="N21" s="6" t="s">
        <v>41</v>
      </c>
      <c r="O21" s="6" t="s">
        <v>73</v>
      </c>
      <c r="P21" s="6" t="s">
        <v>74</v>
      </c>
      <c r="Q21" s="6" t="s">
        <v>620</v>
      </c>
      <c r="R21" s="6" t="s">
        <v>621</v>
      </c>
      <c r="S21" s="6" t="s">
        <v>621</v>
      </c>
      <c r="T21" s="6" t="s">
        <v>621</v>
      </c>
      <c r="U21" s="6" t="s">
        <v>625</v>
      </c>
      <c r="V21" s="2" t="s">
        <v>622</v>
      </c>
    </row>
    <row r="22" spans="1:22">
      <c r="A22" s="6" t="s">
        <v>406</v>
      </c>
      <c r="B22" s="6" t="s">
        <v>16</v>
      </c>
      <c r="C22" s="6" t="s">
        <v>185</v>
      </c>
      <c r="D22" s="6" t="s">
        <v>314</v>
      </c>
      <c r="E22" s="6" t="s">
        <v>187</v>
      </c>
      <c r="F22" s="6" t="s">
        <v>336</v>
      </c>
      <c r="G22" s="6" t="s">
        <v>407</v>
      </c>
      <c r="H22" s="6" t="s">
        <v>88</v>
      </c>
      <c r="I22" s="6" t="s">
        <v>89</v>
      </c>
      <c r="J22" s="6" t="s">
        <v>24</v>
      </c>
      <c r="K22" s="6" t="s">
        <v>25</v>
      </c>
      <c r="L22" s="6" t="s">
        <v>408</v>
      </c>
      <c r="M22" s="6" t="s">
        <v>62</v>
      </c>
      <c r="N22" s="6"/>
      <c r="O22" s="6"/>
      <c r="P22" s="6"/>
      <c r="Q22" s="6" t="s">
        <v>620</v>
      </c>
      <c r="R22" s="6" t="s">
        <v>621</v>
      </c>
      <c r="S22" s="6" t="s">
        <v>621</v>
      </c>
      <c r="T22" s="6" t="s">
        <v>621</v>
      </c>
      <c r="U22" s="6" t="s">
        <v>625</v>
      </c>
      <c r="V22" s="2" t="s">
        <v>622</v>
      </c>
    </row>
    <row r="23" spans="1:22">
      <c r="A23" s="6" t="s">
        <v>79</v>
      </c>
      <c r="B23" s="6" t="s">
        <v>16</v>
      </c>
      <c r="C23" s="6" t="s">
        <v>189</v>
      </c>
      <c r="D23" s="6" t="s">
        <v>55</v>
      </c>
      <c r="E23" s="6" t="s">
        <v>191</v>
      </c>
      <c r="F23" s="6" t="s">
        <v>337</v>
      </c>
      <c r="G23" s="6" t="s">
        <v>409</v>
      </c>
      <c r="H23" s="6" t="s">
        <v>410</v>
      </c>
      <c r="I23" s="6" t="s">
        <v>315</v>
      </c>
      <c r="J23" s="6" t="s">
        <v>24</v>
      </c>
      <c r="K23" s="6" t="s">
        <v>50</v>
      </c>
      <c r="L23" s="6" t="s">
        <v>411</v>
      </c>
      <c r="M23" s="6" t="s">
        <v>27</v>
      </c>
      <c r="N23" s="6" t="s">
        <v>28</v>
      </c>
      <c r="O23" s="6" t="s">
        <v>42</v>
      </c>
      <c r="P23" s="6" t="s">
        <v>43</v>
      </c>
      <c r="Q23" s="6" t="s">
        <v>620</v>
      </c>
      <c r="R23" s="6" t="s">
        <v>621</v>
      </c>
      <c r="S23" s="6" t="s">
        <v>621</v>
      </c>
      <c r="T23" s="6" t="s">
        <v>621</v>
      </c>
      <c r="U23" s="6" t="s">
        <v>625</v>
      </c>
      <c r="V23" s="2" t="s">
        <v>622</v>
      </c>
    </row>
    <row r="24" spans="1:22">
      <c r="A24" s="6" t="s">
        <v>412</v>
      </c>
      <c r="B24" s="6" t="s">
        <v>16</v>
      </c>
      <c r="C24" s="6" t="s">
        <v>194</v>
      </c>
      <c r="D24" s="6" t="s">
        <v>195</v>
      </c>
      <c r="E24" s="6" t="s">
        <v>196</v>
      </c>
      <c r="F24" s="6" t="s">
        <v>86</v>
      </c>
      <c r="G24" s="6" t="s">
        <v>413</v>
      </c>
      <c r="H24" s="6" t="s">
        <v>414</v>
      </c>
      <c r="I24" s="6" t="s">
        <v>197</v>
      </c>
      <c r="J24" s="6" t="s">
        <v>24</v>
      </c>
      <c r="K24" s="6" t="s">
        <v>39</v>
      </c>
      <c r="L24" s="6" t="s">
        <v>415</v>
      </c>
      <c r="M24" s="6" t="s">
        <v>27</v>
      </c>
      <c r="N24" s="6" t="s">
        <v>41</v>
      </c>
      <c r="O24" s="6" t="s">
        <v>29</v>
      </c>
      <c r="P24" s="6" t="s">
        <v>30</v>
      </c>
      <c r="Q24" s="6" t="s">
        <v>620</v>
      </c>
      <c r="R24" s="6" t="s">
        <v>621</v>
      </c>
      <c r="S24" s="6" t="s">
        <v>621</v>
      </c>
      <c r="T24" s="6" t="s">
        <v>621</v>
      </c>
      <c r="U24" s="6" t="s">
        <v>625</v>
      </c>
      <c r="V24" s="2" t="s">
        <v>622</v>
      </c>
    </row>
    <row r="25" spans="1:22">
      <c r="A25" s="6" t="s">
        <v>416</v>
      </c>
      <c r="B25" s="6" t="s">
        <v>16</v>
      </c>
      <c r="C25" s="6" t="s">
        <v>198</v>
      </c>
      <c r="D25" s="6" t="s">
        <v>199</v>
      </c>
      <c r="E25" s="6" t="s">
        <v>200</v>
      </c>
      <c r="F25" s="6" t="s">
        <v>45</v>
      </c>
      <c r="G25" s="6" t="s">
        <v>417</v>
      </c>
      <c r="H25" s="6" t="s">
        <v>22</v>
      </c>
      <c r="I25" s="6" t="s">
        <v>23</v>
      </c>
      <c r="J25" s="6" t="s">
        <v>24</v>
      </c>
      <c r="K25" s="6" t="s">
        <v>47</v>
      </c>
      <c r="L25" s="6" t="s">
        <v>418</v>
      </c>
      <c r="M25" s="6" t="s">
        <v>62</v>
      </c>
      <c r="N25" s="6"/>
      <c r="O25" s="6"/>
      <c r="P25" s="6"/>
      <c r="Q25" s="6" t="s">
        <v>620</v>
      </c>
      <c r="R25" s="6" t="s">
        <v>621</v>
      </c>
      <c r="S25" s="6" t="s">
        <v>621</v>
      </c>
      <c r="T25" s="6" t="s">
        <v>621</v>
      </c>
      <c r="U25" s="6" t="s">
        <v>625</v>
      </c>
      <c r="V25" s="2" t="s">
        <v>622</v>
      </c>
    </row>
    <row r="26" spans="1:22">
      <c r="A26" s="6" t="s">
        <v>419</v>
      </c>
      <c r="B26" s="6" t="s">
        <v>16</v>
      </c>
      <c r="C26" s="6" t="s">
        <v>202</v>
      </c>
      <c r="D26" s="6" t="s">
        <v>316</v>
      </c>
      <c r="E26" s="6" t="s">
        <v>204</v>
      </c>
      <c r="F26" s="6" t="s">
        <v>322</v>
      </c>
      <c r="G26" s="6" t="s">
        <v>420</v>
      </c>
      <c r="H26" s="6" t="s">
        <v>343</v>
      </c>
      <c r="I26" s="6" t="s">
        <v>108</v>
      </c>
      <c r="J26" s="6" t="s">
        <v>24</v>
      </c>
      <c r="K26" s="6" t="s">
        <v>90</v>
      </c>
      <c r="L26" s="6" t="s">
        <v>421</v>
      </c>
      <c r="M26" s="6" t="s">
        <v>27</v>
      </c>
      <c r="N26" s="6" t="s">
        <v>28</v>
      </c>
      <c r="O26" s="6" t="s">
        <v>67</v>
      </c>
      <c r="P26" s="6" t="s">
        <v>68</v>
      </c>
      <c r="Q26" s="6" t="s">
        <v>620</v>
      </c>
      <c r="R26" s="6" t="s">
        <v>621</v>
      </c>
      <c r="S26" s="6" t="s">
        <v>621</v>
      </c>
      <c r="T26" s="6" t="s">
        <v>621</v>
      </c>
      <c r="U26" s="6" t="s">
        <v>625</v>
      </c>
      <c r="V26" s="2" t="s">
        <v>622</v>
      </c>
    </row>
    <row r="27" spans="1:22">
      <c r="A27" s="6" t="s">
        <v>422</v>
      </c>
      <c r="B27" s="6" t="s">
        <v>31</v>
      </c>
      <c r="C27" s="6" t="s">
        <v>54</v>
      </c>
      <c r="D27" s="6" t="s">
        <v>205</v>
      </c>
      <c r="E27" s="6" t="s">
        <v>206</v>
      </c>
      <c r="F27" s="6" t="s">
        <v>323</v>
      </c>
      <c r="G27" s="6" t="s">
        <v>423</v>
      </c>
      <c r="H27" s="6" t="s">
        <v>59</v>
      </c>
      <c r="I27" s="6" t="s">
        <v>60</v>
      </c>
      <c r="J27" s="6" t="s">
        <v>24</v>
      </c>
      <c r="K27" s="6" t="s">
        <v>25</v>
      </c>
      <c r="L27" s="6" t="s">
        <v>424</v>
      </c>
      <c r="M27" s="6" t="s">
        <v>27</v>
      </c>
      <c r="N27" s="6" t="s">
        <v>41</v>
      </c>
      <c r="O27" s="6" t="s">
        <v>42</v>
      </c>
      <c r="P27" s="6" t="s">
        <v>43</v>
      </c>
      <c r="Q27" s="6" t="s">
        <v>620</v>
      </c>
      <c r="R27" s="6" t="s">
        <v>621</v>
      </c>
      <c r="S27" s="6" t="s">
        <v>621</v>
      </c>
      <c r="T27" s="6" t="s">
        <v>621</v>
      </c>
      <c r="U27" s="6" t="s">
        <v>625</v>
      </c>
      <c r="V27" s="2" t="s">
        <v>622</v>
      </c>
    </row>
    <row r="28" spans="1:22">
      <c r="A28" s="6" t="s">
        <v>425</v>
      </c>
      <c r="B28" s="6" t="s">
        <v>16</v>
      </c>
      <c r="C28" s="6" t="s">
        <v>207</v>
      </c>
      <c r="D28" s="6" t="s">
        <v>208</v>
      </c>
      <c r="E28" s="6" t="s">
        <v>209</v>
      </c>
      <c r="F28" s="6" t="s">
        <v>325</v>
      </c>
      <c r="G28" s="6" t="s">
        <v>426</v>
      </c>
      <c r="H28" s="6" t="s">
        <v>350</v>
      </c>
      <c r="I28" s="6" t="s">
        <v>117</v>
      </c>
      <c r="J28" s="6" t="s">
        <v>24</v>
      </c>
      <c r="K28" s="6" t="s">
        <v>50</v>
      </c>
      <c r="L28" s="6" t="s">
        <v>427</v>
      </c>
      <c r="M28" s="6" t="s">
        <v>62</v>
      </c>
      <c r="N28" s="6"/>
      <c r="O28" s="6"/>
      <c r="P28" s="6"/>
      <c r="Q28" s="6" t="s">
        <v>620</v>
      </c>
      <c r="R28" s="6" t="s">
        <v>621</v>
      </c>
      <c r="S28" s="6" t="s">
        <v>621</v>
      </c>
      <c r="T28" s="6" t="s">
        <v>621</v>
      </c>
      <c r="U28" s="6" t="s">
        <v>625</v>
      </c>
      <c r="V28" s="2" t="s">
        <v>622</v>
      </c>
    </row>
    <row r="29" spans="1:22">
      <c r="A29" s="6" t="s">
        <v>428</v>
      </c>
      <c r="B29" s="6" t="s">
        <v>16</v>
      </c>
      <c r="C29" s="6" t="s">
        <v>17</v>
      </c>
      <c r="D29" s="6" t="s">
        <v>210</v>
      </c>
      <c r="E29" s="6" t="s">
        <v>211</v>
      </c>
      <c r="F29" s="6" t="s">
        <v>334</v>
      </c>
      <c r="G29" s="6" t="s">
        <v>370</v>
      </c>
      <c r="H29" s="6" t="s">
        <v>360</v>
      </c>
      <c r="I29" s="6" t="s">
        <v>129</v>
      </c>
      <c r="J29" s="6" t="s">
        <v>24</v>
      </c>
      <c r="K29" s="6" t="s">
        <v>50</v>
      </c>
      <c r="L29" s="6" t="s">
        <v>429</v>
      </c>
      <c r="M29" s="6" t="s">
        <v>27</v>
      </c>
      <c r="N29" s="6" t="s">
        <v>28</v>
      </c>
      <c r="O29" s="6" t="s">
        <v>73</v>
      </c>
      <c r="P29" s="6" t="s">
        <v>74</v>
      </c>
      <c r="Q29" s="6" t="s">
        <v>620</v>
      </c>
      <c r="R29" s="6" t="s">
        <v>621</v>
      </c>
      <c r="S29" s="6" t="s">
        <v>621</v>
      </c>
      <c r="T29" s="6" t="s">
        <v>621</v>
      </c>
      <c r="U29" s="6" t="s">
        <v>625</v>
      </c>
      <c r="V29" s="2" t="s">
        <v>622</v>
      </c>
    </row>
    <row r="30" spans="1:22">
      <c r="A30" s="6" t="s">
        <v>430</v>
      </c>
      <c r="B30" s="6" t="s">
        <v>16</v>
      </c>
      <c r="C30" s="6" t="s">
        <v>212</v>
      </c>
      <c r="D30" s="6" t="s">
        <v>213</v>
      </c>
      <c r="E30" s="6" t="s">
        <v>214</v>
      </c>
      <c r="F30" s="6" t="s">
        <v>35</v>
      </c>
      <c r="G30" s="6" t="s">
        <v>431</v>
      </c>
      <c r="H30" s="6" t="s">
        <v>432</v>
      </c>
      <c r="I30" s="6" t="s">
        <v>215</v>
      </c>
      <c r="J30" s="6" t="s">
        <v>24</v>
      </c>
      <c r="K30" s="6" t="s">
        <v>47</v>
      </c>
      <c r="L30" s="6" t="s">
        <v>433</v>
      </c>
      <c r="M30" s="6" t="s">
        <v>27</v>
      </c>
      <c r="N30" s="6" t="s">
        <v>41</v>
      </c>
      <c r="O30" s="6" t="s">
        <v>67</v>
      </c>
      <c r="P30" s="6" t="s">
        <v>68</v>
      </c>
      <c r="Q30" s="6" t="s">
        <v>620</v>
      </c>
      <c r="R30" s="6" t="s">
        <v>621</v>
      </c>
      <c r="S30" s="6" t="s">
        <v>621</v>
      </c>
      <c r="T30" s="6" t="s">
        <v>621</v>
      </c>
      <c r="U30" s="6" t="s">
        <v>625</v>
      </c>
      <c r="V30" s="2" t="s">
        <v>622</v>
      </c>
    </row>
    <row r="31" spans="1:22">
      <c r="A31" s="6" t="s">
        <v>434</v>
      </c>
      <c r="B31" s="6" t="s">
        <v>16</v>
      </c>
      <c r="C31" s="6" t="s">
        <v>17</v>
      </c>
      <c r="D31" s="6" t="s">
        <v>18</v>
      </c>
      <c r="E31" s="6" t="s">
        <v>216</v>
      </c>
      <c r="F31" s="6" t="s">
        <v>57</v>
      </c>
      <c r="G31" s="6" t="s">
        <v>435</v>
      </c>
      <c r="H31" s="6" t="s">
        <v>360</v>
      </c>
      <c r="I31" s="6" t="s">
        <v>129</v>
      </c>
      <c r="J31" s="6" t="s">
        <v>24</v>
      </c>
      <c r="K31" s="6" t="s">
        <v>90</v>
      </c>
      <c r="L31" s="6" t="s">
        <v>436</v>
      </c>
      <c r="M31" s="6" t="s">
        <v>62</v>
      </c>
      <c r="N31" s="6"/>
      <c r="O31" s="6"/>
      <c r="P31" s="6"/>
      <c r="Q31" s="6" t="s">
        <v>620</v>
      </c>
      <c r="R31" s="6" t="s">
        <v>621</v>
      </c>
      <c r="S31" s="6" t="s">
        <v>621</v>
      </c>
      <c r="T31" s="6" t="s">
        <v>621</v>
      </c>
      <c r="U31" s="6" t="s">
        <v>625</v>
      </c>
      <c r="V31" s="2" t="s">
        <v>622</v>
      </c>
    </row>
    <row r="32" spans="1:22">
      <c r="A32" s="6" t="s">
        <v>437</v>
      </c>
      <c r="B32" s="6" t="s">
        <v>16</v>
      </c>
      <c r="C32" s="6" t="s">
        <v>17</v>
      </c>
      <c r="D32" s="6" t="s">
        <v>18</v>
      </c>
      <c r="E32" s="6" t="s">
        <v>44</v>
      </c>
      <c r="F32" s="6" t="s">
        <v>45</v>
      </c>
      <c r="G32" s="6" t="s">
        <v>46</v>
      </c>
      <c r="H32" s="6" t="s">
        <v>22</v>
      </c>
      <c r="I32" s="6" t="s">
        <v>23</v>
      </c>
      <c r="J32" s="6" t="s">
        <v>24</v>
      </c>
      <c r="K32" s="6" t="s">
        <v>47</v>
      </c>
      <c r="L32" s="6" t="s">
        <v>48</v>
      </c>
      <c r="M32" s="6" t="s">
        <v>27</v>
      </c>
      <c r="N32" s="6" t="s">
        <v>28</v>
      </c>
      <c r="O32" s="6" t="s">
        <v>29</v>
      </c>
      <c r="P32" s="6" t="s">
        <v>30</v>
      </c>
      <c r="Q32" s="6" t="s">
        <v>620</v>
      </c>
      <c r="R32" s="6" t="s">
        <v>621</v>
      </c>
      <c r="S32" s="6" t="s">
        <v>621</v>
      </c>
      <c r="T32" s="6" t="s">
        <v>621</v>
      </c>
      <c r="U32" s="6" t="s">
        <v>625</v>
      </c>
      <c r="V32" s="2" t="s">
        <v>622</v>
      </c>
    </row>
    <row r="33" spans="1:22">
      <c r="A33" s="6" t="s">
        <v>438</v>
      </c>
      <c r="B33" s="6" t="s">
        <v>16</v>
      </c>
      <c r="C33" s="6" t="s">
        <v>109</v>
      </c>
      <c r="D33" s="6" t="s">
        <v>302</v>
      </c>
      <c r="E33" s="6" t="s">
        <v>217</v>
      </c>
      <c r="F33" s="6" t="s">
        <v>326</v>
      </c>
      <c r="G33" s="6" t="s">
        <v>439</v>
      </c>
      <c r="H33" s="6" t="s">
        <v>364</v>
      </c>
      <c r="I33" s="6" t="s">
        <v>136</v>
      </c>
      <c r="J33" s="6" t="s">
        <v>24</v>
      </c>
      <c r="K33" s="6" t="s">
        <v>50</v>
      </c>
      <c r="L33" s="6" t="s">
        <v>440</v>
      </c>
      <c r="M33" s="6" t="s">
        <v>27</v>
      </c>
      <c r="N33" s="6" t="s">
        <v>41</v>
      </c>
      <c r="O33" s="6" t="s">
        <v>73</v>
      </c>
      <c r="P33" s="6" t="s">
        <v>74</v>
      </c>
      <c r="Q33" s="6" t="s">
        <v>620</v>
      </c>
      <c r="R33" s="6" t="s">
        <v>621</v>
      </c>
      <c r="S33" s="6" t="s">
        <v>621</v>
      </c>
      <c r="T33" s="6" t="s">
        <v>621</v>
      </c>
      <c r="U33" s="6" t="s">
        <v>625</v>
      </c>
      <c r="V33" s="2" t="s">
        <v>622</v>
      </c>
    </row>
    <row r="34" spans="1:22">
      <c r="A34" s="6" t="s">
        <v>441</v>
      </c>
      <c r="B34" s="6" t="s">
        <v>16</v>
      </c>
      <c r="C34" s="6" t="s">
        <v>113</v>
      </c>
      <c r="D34" s="6" t="s">
        <v>324</v>
      </c>
      <c r="E34" s="6" t="s">
        <v>218</v>
      </c>
      <c r="F34" s="6" t="s">
        <v>327</v>
      </c>
      <c r="G34" s="6" t="s">
        <v>442</v>
      </c>
      <c r="H34" s="6" t="s">
        <v>368</v>
      </c>
      <c r="I34" s="6" t="s">
        <v>306</v>
      </c>
      <c r="J34" s="6" t="s">
        <v>24</v>
      </c>
      <c r="K34" s="6" t="s">
        <v>39</v>
      </c>
      <c r="L34" s="6" t="s">
        <v>443</v>
      </c>
      <c r="M34" s="6" t="s">
        <v>62</v>
      </c>
      <c r="N34" s="6"/>
      <c r="O34" s="6"/>
      <c r="P34" s="6"/>
      <c r="Q34" s="6" t="s">
        <v>620</v>
      </c>
      <c r="R34" s="6" t="s">
        <v>621</v>
      </c>
      <c r="S34" s="6" t="s">
        <v>621</v>
      </c>
      <c r="T34" s="6" t="s">
        <v>621</v>
      </c>
      <c r="U34" s="6" t="s">
        <v>625</v>
      </c>
      <c r="V34" s="2" t="s">
        <v>622</v>
      </c>
    </row>
    <row r="35" spans="1:22">
      <c r="A35" s="6" t="s">
        <v>444</v>
      </c>
      <c r="B35" s="6" t="s">
        <v>16</v>
      </c>
      <c r="C35" s="6" t="s">
        <v>118</v>
      </c>
      <c r="D35" s="6" t="s">
        <v>119</v>
      </c>
      <c r="E35" s="6" t="s">
        <v>219</v>
      </c>
      <c r="F35" s="6" t="s">
        <v>20</v>
      </c>
      <c r="G35" s="6" t="s">
        <v>445</v>
      </c>
      <c r="H35" s="6" t="s">
        <v>372</v>
      </c>
      <c r="I35" s="6" t="s">
        <v>145</v>
      </c>
      <c r="J35" s="6" t="s">
        <v>24</v>
      </c>
      <c r="K35" s="6" t="s">
        <v>47</v>
      </c>
      <c r="L35" s="6" t="s">
        <v>446</v>
      </c>
      <c r="M35" s="6" t="s">
        <v>27</v>
      </c>
      <c r="N35" s="6" t="s">
        <v>28</v>
      </c>
      <c r="O35" s="6" t="s">
        <v>42</v>
      </c>
      <c r="P35" s="6" t="s">
        <v>43</v>
      </c>
      <c r="Q35" s="6" t="s">
        <v>620</v>
      </c>
      <c r="R35" s="6" t="s">
        <v>621</v>
      </c>
      <c r="S35" s="6" t="s">
        <v>621</v>
      </c>
      <c r="T35" s="6" t="s">
        <v>621</v>
      </c>
      <c r="U35" s="6" t="s">
        <v>625</v>
      </c>
      <c r="V35" s="2" t="s">
        <v>622</v>
      </c>
    </row>
    <row r="36" spans="1:22">
      <c r="A36" s="6" t="s">
        <v>447</v>
      </c>
      <c r="B36" s="6" t="s">
        <v>16</v>
      </c>
      <c r="C36" s="6" t="s">
        <v>220</v>
      </c>
      <c r="D36" s="6" t="s">
        <v>221</v>
      </c>
      <c r="E36" s="6" t="s">
        <v>222</v>
      </c>
      <c r="F36" s="6" t="s">
        <v>328</v>
      </c>
      <c r="G36" s="6" t="s">
        <v>448</v>
      </c>
      <c r="H36" s="6" t="s">
        <v>376</v>
      </c>
      <c r="I36" s="6" t="s">
        <v>308</v>
      </c>
      <c r="J36" s="6" t="s">
        <v>24</v>
      </c>
      <c r="K36" s="6" t="s">
        <v>90</v>
      </c>
      <c r="L36" s="6" t="s">
        <v>449</v>
      </c>
      <c r="M36" s="6" t="s">
        <v>27</v>
      </c>
      <c r="N36" s="6" t="s">
        <v>41</v>
      </c>
      <c r="O36" s="6" t="s">
        <v>29</v>
      </c>
      <c r="P36" s="6" t="s">
        <v>30</v>
      </c>
      <c r="Q36" s="6" t="s">
        <v>620</v>
      </c>
      <c r="R36" s="6" t="s">
        <v>621</v>
      </c>
      <c r="S36" s="6" t="s">
        <v>621</v>
      </c>
      <c r="T36" s="6" t="s">
        <v>621</v>
      </c>
      <c r="U36" s="6" t="s">
        <v>625</v>
      </c>
      <c r="V36" s="2" t="s">
        <v>622</v>
      </c>
    </row>
    <row r="37" spans="1:22">
      <c r="A37" s="6" t="s">
        <v>450</v>
      </c>
      <c r="B37" s="6" t="s">
        <v>16</v>
      </c>
      <c r="C37" s="6" t="s">
        <v>125</v>
      </c>
      <c r="D37" s="6" t="s">
        <v>304</v>
      </c>
      <c r="E37" s="6" t="s">
        <v>223</v>
      </c>
      <c r="F37" s="6" t="s">
        <v>329</v>
      </c>
      <c r="G37" s="6" t="s">
        <v>451</v>
      </c>
      <c r="H37" s="6" t="s">
        <v>379</v>
      </c>
      <c r="I37" s="6" t="s">
        <v>155</v>
      </c>
      <c r="J37" s="6" t="s">
        <v>24</v>
      </c>
      <c r="K37" s="6" t="s">
        <v>25</v>
      </c>
      <c r="L37" s="6" t="s">
        <v>452</v>
      </c>
      <c r="M37" s="6" t="s">
        <v>62</v>
      </c>
      <c r="N37" s="6"/>
      <c r="O37" s="6"/>
      <c r="P37" s="6"/>
      <c r="Q37" s="6" t="s">
        <v>620</v>
      </c>
      <c r="R37" s="6" t="s">
        <v>621</v>
      </c>
      <c r="S37" s="6" t="s">
        <v>621</v>
      </c>
      <c r="T37" s="6" t="s">
        <v>621</v>
      </c>
      <c r="U37" s="6" t="s">
        <v>625</v>
      </c>
      <c r="V37" s="2" t="s">
        <v>622</v>
      </c>
    </row>
    <row r="38" spans="1:22">
      <c r="A38" s="6" t="s">
        <v>453</v>
      </c>
      <c r="B38" s="6" t="s">
        <v>16</v>
      </c>
      <c r="C38" s="6" t="s">
        <v>83</v>
      </c>
      <c r="D38" s="6" t="s">
        <v>84</v>
      </c>
      <c r="E38" s="6" t="s">
        <v>85</v>
      </c>
      <c r="F38" s="6" t="s">
        <v>317</v>
      </c>
      <c r="G38" s="6" t="s">
        <v>124</v>
      </c>
      <c r="H38" s="6" t="s">
        <v>88</v>
      </c>
      <c r="I38" s="6" t="s">
        <v>89</v>
      </c>
      <c r="J38" s="6" t="s">
        <v>24</v>
      </c>
      <c r="K38" s="6" t="s">
        <v>39</v>
      </c>
      <c r="L38" s="6" t="s">
        <v>454</v>
      </c>
      <c r="M38" s="6" t="s">
        <v>27</v>
      </c>
      <c r="N38" s="6" t="s">
        <v>28</v>
      </c>
      <c r="O38" s="6" t="s">
        <v>67</v>
      </c>
      <c r="P38" s="6" t="s">
        <v>68</v>
      </c>
      <c r="Q38" s="6" t="s">
        <v>620</v>
      </c>
      <c r="R38" s="6" t="s">
        <v>621</v>
      </c>
      <c r="S38" s="6" t="s">
        <v>621</v>
      </c>
      <c r="T38" s="6" t="s">
        <v>621</v>
      </c>
      <c r="U38" s="6" t="s">
        <v>625</v>
      </c>
      <c r="V38" s="2" t="s">
        <v>622</v>
      </c>
    </row>
    <row r="39" spans="1:22">
      <c r="A39" s="6" t="s">
        <v>455</v>
      </c>
      <c r="B39" s="6" t="s">
        <v>16</v>
      </c>
      <c r="C39" s="6" t="s">
        <v>132</v>
      </c>
      <c r="D39" s="6" t="s">
        <v>133</v>
      </c>
      <c r="E39" s="6" t="s">
        <v>225</v>
      </c>
      <c r="F39" s="6" t="s">
        <v>318</v>
      </c>
      <c r="G39" s="6" t="s">
        <v>456</v>
      </c>
      <c r="H39" s="6" t="s">
        <v>457</v>
      </c>
      <c r="I39" s="6" t="s">
        <v>319</v>
      </c>
      <c r="J39" s="6" t="s">
        <v>24</v>
      </c>
      <c r="K39" s="6" t="s">
        <v>39</v>
      </c>
      <c r="L39" s="6" t="s">
        <v>458</v>
      </c>
      <c r="M39" s="6" t="s">
        <v>27</v>
      </c>
      <c r="N39" s="6" t="s">
        <v>41</v>
      </c>
      <c r="O39" s="6" t="s">
        <v>42</v>
      </c>
      <c r="P39" s="6" t="s">
        <v>43</v>
      </c>
      <c r="Q39" s="6" t="s">
        <v>620</v>
      </c>
      <c r="R39" s="6" t="s">
        <v>621</v>
      </c>
      <c r="S39" s="6" t="s">
        <v>621</v>
      </c>
      <c r="T39" s="6" t="s">
        <v>621</v>
      </c>
      <c r="U39" s="6" t="s">
        <v>625</v>
      </c>
      <c r="V39" s="2" t="s">
        <v>622</v>
      </c>
    </row>
    <row r="40" spans="1:22">
      <c r="A40" s="6" t="s">
        <v>459</v>
      </c>
      <c r="B40" s="6" t="s">
        <v>31</v>
      </c>
      <c r="C40" s="6" t="s">
        <v>137</v>
      </c>
      <c r="D40" s="6" t="s">
        <v>305</v>
      </c>
      <c r="E40" s="6" t="s">
        <v>228</v>
      </c>
      <c r="F40" s="6" t="s">
        <v>331</v>
      </c>
      <c r="G40" s="6" t="s">
        <v>460</v>
      </c>
      <c r="H40" s="6" t="s">
        <v>387</v>
      </c>
      <c r="I40" s="6" t="s">
        <v>311</v>
      </c>
      <c r="J40" s="6" t="s">
        <v>24</v>
      </c>
      <c r="K40" s="6" t="s">
        <v>47</v>
      </c>
      <c r="L40" s="6" t="s">
        <v>461</v>
      </c>
      <c r="M40" s="6" t="s">
        <v>62</v>
      </c>
      <c r="N40" s="6"/>
      <c r="O40" s="6"/>
      <c r="P40" s="6"/>
      <c r="Q40" s="6" t="s">
        <v>620</v>
      </c>
      <c r="R40" s="6" t="s">
        <v>621</v>
      </c>
      <c r="S40" s="6" t="s">
        <v>621</v>
      </c>
      <c r="T40" s="6" t="s">
        <v>621</v>
      </c>
      <c r="U40" s="6" t="s">
        <v>625</v>
      </c>
      <c r="V40" s="2" t="s">
        <v>622</v>
      </c>
    </row>
    <row r="41" spans="1:22">
      <c r="A41" s="6" t="s">
        <v>462</v>
      </c>
      <c r="B41" s="6" t="s">
        <v>16</v>
      </c>
      <c r="C41" s="6" t="s">
        <v>142</v>
      </c>
      <c r="D41" s="6" t="s">
        <v>307</v>
      </c>
      <c r="E41" s="6" t="s">
        <v>229</v>
      </c>
      <c r="F41" s="6" t="s">
        <v>332</v>
      </c>
      <c r="G41" s="6" t="s">
        <v>463</v>
      </c>
      <c r="H41" s="6" t="s">
        <v>391</v>
      </c>
      <c r="I41" s="6" t="s">
        <v>169</v>
      </c>
      <c r="J41" s="6" t="s">
        <v>24</v>
      </c>
      <c r="K41" s="6" t="s">
        <v>90</v>
      </c>
      <c r="L41" s="6" t="s">
        <v>464</v>
      </c>
      <c r="M41" s="6" t="s">
        <v>27</v>
      </c>
      <c r="N41" s="6" t="s">
        <v>28</v>
      </c>
      <c r="O41" s="6" t="s">
        <v>73</v>
      </c>
      <c r="P41" s="6" t="s">
        <v>74</v>
      </c>
      <c r="Q41" s="6" t="s">
        <v>620</v>
      </c>
      <c r="R41" s="6" t="s">
        <v>621</v>
      </c>
      <c r="S41" s="6" t="s">
        <v>621</v>
      </c>
      <c r="T41" s="6" t="s">
        <v>621</v>
      </c>
      <c r="U41" s="6" t="s">
        <v>625</v>
      </c>
      <c r="V41" s="2" t="s">
        <v>622</v>
      </c>
    </row>
    <row r="42" spans="1:22">
      <c r="A42" s="6" t="s">
        <v>465</v>
      </c>
      <c r="B42" s="6" t="s">
        <v>16</v>
      </c>
      <c r="C42" s="6" t="s">
        <v>146</v>
      </c>
      <c r="D42" s="6" t="s">
        <v>33</v>
      </c>
      <c r="E42" s="6" t="s">
        <v>230</v>
      </c>
      <c r="F42" s="6" t="s">
        <v>333</v>
      </c>
      <c r="G42" s="6" t="s">
        <v>466</v>
      </c>
      <c r="H42" s="6" t="s">
        <v>395</v>
      </c>
      <c r="I42" s="6" t="s">
        <v>173</v>
      </c>
      <c r="J42" s="6" t="s">
        <v>24</v>
      </c>
      <c r="K42" s="6" t="s">
        <v>25</v>
      </c>
      <c r="L42" s="6" t="s">
        <v>467</v>
      </c>
      <c r="M42" s="6" t="s">
        <v>27</v>
      </c>
      <c r="N42" s="6" t="s">
        <v>41</v>
      </c>
      <c r="O42" s="6" t="s">
        <v>67</v>
      </c>
      <c r="P42" s="6" t="s">
        <v>68</v>
      </c>
      <c r="Q42" s="6" t="s">
        <v>620</v>
      </c>
      <c r="R42" s="6" t="s">
        <v>621</v>
      </c>
      <c r="S42" s="6" t="s">
        <v>621</v>
      </c>
      <c r="T42" s="6" t="s">
        <v>621</v>
      </c>
      <c r="U42" s="6" t="s">
        <v>625</v>
      </c>
      <c r="V42" s="2" t="s">
        <v>622</v>
      </c>
    </row>
    <row r="43" spans="1:22">
      <c r="A43" s="6" t="s">
        <v>468</v>
      </c>
      <c r="B43" s="6" t="s">
        <v>16</v>
      </c>
      <c r="C43" s="6" t="s">
        <v>151</v>
      </c>
      <c r="D43" s="6" t="s">
        <v>152</v>
      </c>
      <c r="E43" s="6" t="s">
        <v>231</v>
      </c>
      <c r="F43" s="6" t="s">
        <v>334</v>
      </c>
      <c r="G43" s="6" t="s">
        <v>469</v>
      </c>
      <c r="H43" s="6" t="s">
        <v>398</v>
      </c>
      <c r="I43" s="6" t="s">
        <v>178</v>
      </c>
      <c r="J43" s="6" t="s">
        <v>24</v>
      </c>
      <c r="K43" s="6" t="s">
        <v>50</v>
      </c>
      <c r="L43" s="6" t="s">
        <v>470</v>
      </c>
      <c r="M43" s="6" t="s">
        <v>62</v>
      </c>
      <c r="N43" s="6"/>
      <c r="O43" s="6"/>
      <c r="P43" s="6"/>
      <c r="Q43" s="6" t="s">
        <v>620</v>
      </c>
      <c r="R43" s="6" t="s">
        <v>621</v>
      </c>
      <c r="S43" s="6" t="s">
        <v>621</v>
      </c>
      <c r="T43" s="6" t="s">
        <v>621</v>
      </c>
      <c r="U43" s="6" t="s">
        <v>625</v>
      </c>
      <c r="V43" s="2" t="s">
        <v>622</v>
      </c>
    </row>
    <row r="44" spans="1:22">
      <c r="A44" s="6" t="s">
        <v>471</v>
      </c>
      <c r="B44" s="6" t="s">
        <v>16</v>
      </c>
      <c r="C44" s="6" t="s">
        <v>32</v>
      </c>
      <c r="D44" s="6" t="s">
        <v>309</v>
      </c>
      <c r="E44" s="6" t="s">
        <v>232</v>
      </c>
      <c r="F44" s="6" t="s">
        <v>338</v>
      </c>
      <c r="G44" s="6" t="s">
        <v>472</v>
      </c>
      <c r="H44" s="6" t="s">
        <v>473</v>
      </c>
      <c r="I44" s="6" t="s">
        <v>234</v>
      </c>
      <c r="J44" s="6" t="s">
        <v>24</v>
      </c>
      <c r="K44" s="6" t="s">
        <v>39</v>
      </c>
      <c r="L44" s="6" t="s">
        <v>474</v>
      </c>
      <c r="M44" s="6" t="s">
        <v>27</v>
      </c>
      <c r="N44" s="6" t="s">
        <v>28</v>
      </c>
      <c r="O44" s="6" t="s">
        <v>29</v>
      </c>
      <c r="P44" s="6" t="s">
        <v>30</v>
      </c>
      <c r="Q44" s="6" t="s">
        <v>620</v>
      </c>
      <c r="R44" s="6" t="s">
        <v>621</v>
      </c>
      <c r="S44" s="6" t="s">
        <v>621</v>
      </c>
      <c r="T44" s="6" t="s">
        <v>621</v>
      </c>
      <c r="U44" s="6" t="s">
        <v>625</v>
      </c>
      <c r="V44" s="2" t="s">
        <v>622</v>
      </c>
    </row>
    <row r="45" spans="1:22">
      <c r="A45" s="6" t="s">
        <v>475</v>
      </c>
      <c r="B45" s="6" t="s">
        <v>16</v>
      </c>
      <c r="C45" s="6" t="s">
        <v>75</v>
      </c>
      <c r="D45" s="6" t="s">
        <v>339</v>
      </c>
      <c r="E45" s="6" t="s">
        <v>236</v>
      </c>
      <c r="F45" s="6" t="s">
        <v>335</v>
      </c>
      <c r="G45" s="6" t="s">
        <v>476</v>
      </c>
      <c r="H45" s="6" t="s">
        <v>404</v>
      </c>
      <c r="I45" s="6" t="s">
        <v>313</v>
      </c>
      <c r="J45" s="6" t="s">
        <v>24</v>
      </c>
      <c r="K45" s="6" t="s">
        <v>47</v>
      </c>
      <c r="L45" s="6" t="s">
        <v>477</v>
      </c>
      <c r="M45" s="6" t="s">
        <v>27</v>
      </c>
      <c r="N45" s="6" t="s">
        <v>41</v>
      </c>
      <c r="O45" s="6" t="s">
        <v>73</v>
      </c>
      <c r="P45" s="6" t="s">
        <v>74</v>
      </c>
      <c r="Q45" s="6" t="s">
        <v>620</v>
      </c>
      <c r="R45" s="6" t="s">
        <v>621</v>
      </c>
      <c r="S45" s="6" t="s">
        <v>621</v>
      </c>
      <c r="T45" s="6" t="s">
        <v>621</v>
      </c>
      <c r="U45" s="6" t="s">
        <v>625</v>
      </c>
      <c r="V45" s="2" t="s">
        <v>622</v>
      </c>
    </row>
    <row r="46" spans="1:22">
      <c r="A46" s="6" t="s">
        <v>478</v>
      </c>
      <c r="B46" s="6" t="s">
        <v>16</v>
      </c>
      <c r="C46" s="6" t="s">
        <v>160</v>
      </c>
      <c r="D46" s="6" t="s">
        <v>310</v>
      </c>
      <c r="E46" s="6" t="s">
        <v>237</v>
      </c>
      <c r="F46" s="6" t="s">
        <v>336</v>
      </c>
      <c r="G46" s="6" t="s">
        <v>479</v>
      </c>
      <c r="H46" s="6" t="s">
        <v>88</v>
      </c>
      <c r="I46" s="6" t="s">
        <v>89</v>
      </c>
      <c r="J46" s="6" t="s">
        <v>24</v>
      </c>
      <c r="K46" s="6" t="s">
        <v>90</v>
      </c>
      <c r="L46" s="6" t="s">
        <v>480</v>
      </c>
      <c r="M46" s="6" t="s">
        <v>62</v>
      </c>
      <c r="N46" s="6"/>
      <c r="O46" s="6"/>
      <c r="P46" s="6"/>
      <c r="Q46" s="6" t="s">
        <v>620</v>
      </c>
      <c r="R46" s="6" t="s">
        <v>621</v>
      </c>
      <c r="S46" s="6" t="s">
        <v>621</v>
      </c>
      <c r="T46" s="6" t="s">
        <v>621</v>
      </c>
      <c r="U46" s="6" t="s">
        <v>625</v>
      </c>
      <c r="V46" s="2" t="s">
        <v>622</v>
      </c>
    </row>
    <row r="47" spans="1:22">
      <c r="A47" s="6" t="s">
        <v>481</v>
      </c>
      <c r="B47" s="6" t="s">
        <v>16</v>
      </c>
      <c r="C47" s="6" t="s">
        <v>165</v>
      </c>
      <c r="D47" s="6" t="s">
        <v>166</v>
      </c>
      <c r="E47" s="6" t="s">
        <v>238</v>
      </c>
      <c r="F47" s="6" t="s">
        <v>337</v>
      </c>
      <c r="G47" s="6" t="s">
        <v>482</v>
      </c>
      <c r="H47" s="6" t="s">
        <v>410</v>
      </c>
      <c r="I47" s="6" t="s">
        <v>315</v>
      </c>
      <c r="J47" s="6" t="s">
        <v>24</v>
      </c>
      <c r="K47" s="6" t="s">
        <v>25</v>
      </c>
      <c r="L47" s="6" t="s">
        <v>483</v>
      </c>
      <c r="M47" s="6" t="s">
        <v>27</v>
      </c>
      <c r="N47" s="6" t="s">
        <v>28</v>
      </c>
      <c r="O47" s="6" t="s">
        <v>42</v>
      </c>
      <c r="P47" s="6" t="s">
        <v>43</v>
      </c>
      <c r="Q47" s="6" t="s">
        <v>620</v>
      </c>
      <c r="R47" s="6" t="s">
        <v>621</v>
      </c>
      <c r="S47" s="6" t="s">
        <v>621</v>
      </c>
      <c r="T47" s="6" t="s">
        <v>621</v>
      </c>
      <c r="U47" s="6" t="s">
        <v>625</v>
      </c>
      <c r="V47" s="2" t="s">
        <v>622</v>
      </c>
    </row>
    <row r="48" spans="1:22">
      <c r="A48" s="6" t="s">
        <v>484</v>
      </c>
      <c r="B48" s="6" t="s">
        <v>16</v>
      </c>
      <c r="C48" s="6" t="s">
        <v>170</v>
      </c>
      <c r="D48" s="6" t="s">
        <v>84</v>
      </c>
      <c r="E48" s="6" t="s">
        <v>239</v>
      </c>
      <c r="F48" s="6" t="s">
        <v>86</v>
      </c>
      <c r="G48" s="6" t="s">
        <v>485</v>
      </c>
      <c r="H48" s="6" t="s">
        <v>414</v>
      </c>
      <c r="I48" s="6" t="s">
        <v>197</v>
      </c>
      <c r="J48" s="6" t="s">
        <v>24</v>
      </c>
      <c r="K48" s="6" t="s">
        <v>50</v>
      </c>
      <c r="L48" s="6" t="s">
        <v>486</v>
      </c>
      <c r="M48" s="6" t="s">
        <v>27</v>
      </c>
      <c r="N48" s="6" t="s">
        <v>41</v>
      </c>
      <c r="O48" s="6" t="s">
        <v>29</v>
      </c>
      <c r="P48" s="6" t="s">
        <v>30</v>
      </c>
      <c r="Q48" s="6" t="s">
        <v>620</v>
      </c>
      <c r="R48" s="6" t="s">
        <v>621</v>
      </c>
      <c r="S48" s="6" t="s">
        <v>621</v>
      </c>
      <c r="T48" s="6" t="s">
        <v>621</v>
      </c>
      <c r="U48" s="6" t="s">
        <v>625</v>
      </c>
      <c r="V48" s="2" t="s">
        <v>622</v>
      </c>
    </row>
    <row r="49" spans="1:22">
      <c r="A49" s="6" t="s">
        <v>487</v>
      </c>
      <c r="B49" s="6" t="s">
        <v>16</v>
      </c>
      <c r="C49" s="6" t="s">
        <v>174</v>
      </c>
      <c r="D49" s="6" t="s">
        <v>175</v>
      </c>
      <c r="E49" s="6" t="s">
        <v>240</v>
      </c>
      <c r="F49" s="6" t="s">
        <v>45</v>
      </c>
      <c r="G49" s="6" t="s">
        <v>488</v>
      </c>
      <c r="H49" s="6" t="s">
        <v>22</v>
      </c>
      <c r="I49" s="6" t="s">
        <v>23</v>
      </c>
      <c r="J49" s="6" t="s">
        <v>24</v>
      </c>
      <c r="K49" s="6" t="s">
        <v>39</v>
      </c>
      <c r="L49" s="6" t="s">
        <v>489</v>
      </c>
      <c r="M49" s="6" t="s">
        <v>62</v>
      </c>
      <c r="N49" s="6"/>
      <c r="O49" s="6"/>
      <c r="P49" s="6"/>
      <c r="Q49" s="6" t="s">
        <v>620</v>
      </c>
      <c r="R49" s="6" t="s">
        <v>621</v>
      </c>
      <c r="S49" s="6" t="s">
        <v>621</v>
      </c>
      <c r="T49" s="6" t="s">
        <v>621</v>
      </c>
      <c r="U49" s="6" t="s">
        <v>625</v>
      </c>
      <c r="V49" s="2" t="s">
        <v>622</v>
      </c>
    </row>
    <row r="50" spans="1:22">
      <c r="A50" s="6" t="s">
        <v>490</v>
      </c>
      <c r="B50" s="6" t="s">
        <v>16</v>
      </c>
      <c r="C50" s="6" t="s">
        <v>241</v>
      </c>
      <c r="D50" s="6" t="s">
        <v>242</v>
      </c>
      <c r="E50" s="6" t="s">
        <v>243</v>
      </c>
      <c r="F50" s="6" t="s">
        <v>322</v>
      </c>
      <c r="G50" s="6" t="s">
        <v>491</v>
      </c>
      <c r="H50" s="6" t="s">
        <v>343</v>
      </c>
      <c r="I50" s="6" t="s">
        <v>108</v>
      </c>
      <c r="J50" s="6" t="s">
        <v>24</v>
      </c>
      <c r="K50" s="6" t="s">
        <v>47</v>
      </c>
      <c r="L50" s="6" t="s">
        <v>492</v>
      </c>
      <c r="M50" s="6" t="s">
        <v>27</v>
      </c>
      <c r="N50" s="6" t="s">
        <v>28</v>
      </c>
      <c r="O50" s="6" t="s">
        <v>67</v>
      </c>
      <c r="P50" s="6" t="s">
        <v>68</v>
      </c>
      <c r="Q50" s="6" t="s">
        <v>620</v>
      </c>
      <c r="R50" s="6" t="s">
        <v>621</v>
      </c>
      <c r="S50" s="6" t="s">
        <v>621</v>
      </c>
      <c r="T50" s="6" t="s">
        <v>621</v>
      </c>
      <c r="U50" s="6" t="s">
        <v>625</v>
      </c>
      <c r="V50" s="2" t="s">
        <v>622</v>
      </c>
    </row>
    <row r="51" spans="1:22">
      <c r="A51" s="6" t="s">
        <v>493</v>
      </c>
      <c r="B51" s="6" t="s">
        <v>16</v>
      </c>
      <c r="C51" s="6" t="s">
        <v>180</v>
      </c>
      <c r="D51" s="6" t="s">
        <v>181</v>
      </c>
      <c r="E51" s="6" t="s">
        <v>244</v>
      </c>
      <c r="F51" s="6" t="s">
        <v>323</v>
      </c>
      <c r="G51" s="6" t="s">
        <v>494</v>
      </c>
      <c r="H51" s="6" t="s">
        <v>59</v>
      </c>
      <c r="I51" s="6" t="s">
        <v>60</v>
      </c>
      <c r="J51" s="6" t="s">
        <v>24</v>
      </c>
      <c r="K51" s="6" t="s">
        <v>90</v>
      </c>
      <c r="L51" s="6" t="s">
        <v>495</v>
      </c>
      <c r="M51" s="6" t="s">
        <v>27</v>
      </c>
      <c r="N51" s="6" t="s">
        <v>41</v>
      </c>
      <c r="O51" s="6" t="s">
        <v>42</v>
      </c>
      <c r="P51" s="6" t="s">
        <v>43</v>
      </c>
      <c r="Q51" s="6" t="s">
        <v>620</v>
      </c>
      <c r="R51" s="6" t="s">
        <v>621</v>
      </c>
      <c r="S51" s="6" t="s">
        <v>621</v>
      </c>
      <c r="T51" s="6" t="s">
        <v>621</v>
      </c>
      <c r="U51" s="6" t="s">
        <v>625</v>
      </c>
      <c r="V51" s="2" t="s">
        <v>622</v>
      </c>
    </row>
    <row r="52" spans="1:22">
      <c r="A52" s="6" t="s">
        <v>496</v>
      </c>
      <c r="B52" s="6" t="s">
        <v>16</v>
      </c>
      <c r="C52" s="6" t="s">
        <v>185</v>
      </c>
      <c r="D52" s="6" t="s">
        <v>314</v>
      </c>
      <c r="E52" s="6" t="s">
        <v>245</v>
      </c>
      <c r="F52" s="6" t="s">
        <v>325</v>
      </c>
      <c r="G52" s="6" t="s">
        <v>497</v>
      </c>
      <c r="H52" s="6" t="s">
        <v>350</v>
      </c>
      <c r="I52" s="6" t="s">
        <v>117</v>
      </c>
      <c r="J52" s="6" t="s">
        <v>24</v>
      </c>
      <c r="K52" s="6" t="s">
        <v>25</v>
      </c>
      <c r="L52" s="6" t="s">
        <v>498</v>
      </c>
      <c r="M52" s="6" t="s">
        <v>62</v>
      </c>
      <c r="N52" s="6"/>
      <c r="O52" s="6"/>
      <c r="P52" s="6"/>
      <c r="Q52" s="6" t="s">
        <v>620</v>
      </c>
      <c r="R52" s="6" t="s">
        <v>621</v>
      </c>
      <c r="S52" s="6" t="s">
        <v>621</v>
      </c>
      <c r="T52" s="6" t="s">
        <v>621</v>
      </c>
      <c r="U52" s="6" t="s">
        <v>625</v>
      </c>
      <c r="V52" s="2" t="s">
        <v>622</v>
      </c>
    </row>
    <row r="53" spans="1:22">
      <c r="A53" s="6" t="s">
        <v>499</v>
      </c>
      <c r="B53" s="6" t="s">
        <v>31</v>
      </c>
      <c r="C53" s="6" t="s">
        <v>189</v>
      </c>
      <c r="D53" s="6" t="s">
        <v>55</v>
      </c>
      <c r="E53" s="6" t="s">
        <v>246</v>
      </c>
      <c r="F53" s="6" t="s">
        <v>95</v>
      </c>
      <c r="G53" s="6" t="s">
        <v>500</v>
      </c>
      <c r="H53" s="6" t="s">
        <v>354</v>
      </c>
      <c r="I53" s="6" t="s">
        <v>303</v>
      </c>
      <c r="J53" s="6" t="s">
        <v>24</v>
      </c>
      <c r="K53" s="6" t="s">
        <v>50</v>
      </c>
      <c r="L53" s="6" t="s">
        <v>501</v>
      </c>
      <c r="M53" s="6" t="s">
        <v>27</v>
      </c>
      <c r="N53" s="6" t="s">
        <v>28</v>
      </c>
      <c r="O53" s="6" t="s">
        <v>73</v>
      </c>
      <c r="P53" s="6" t="s">
        <v>74</v>
      </c>
      <c r="Q53" s="6" t="s">
        <v>620</v>
      </c>
      <c r="R53" s="6" t="s">
        <v>621</v>
      </c>
      <c r="S53" s="6" t="s">
        <v>621</v>
      </c>
      <c r="T53" s="6" t="s">
        <v>621</v>
      </c>
      <c r="U53" s="6" t="s">
        <v>625</v>
      </c>
      <c r="V53" s="2" t="s">
        <v>622</v>
      </c>
    </row>
    <row r="54" spans="1:22">
      <c r="A54" s="6" t="s">
        <v>502</v>
      </c>
      <c r="B54" s="6" t="s">
        <v>16</v>
      </c>
      <c r="C54" s="6" t="s">
        <v>194</v>
      </c>
      <c r="D54" s="6" t="s">
        <v>195</v>
      </c>
      <c r="E54" s="6" t="s">
        <v>247</v>
      </c>
      <c r="F54" s="6" t="s">
        <v>35</v>
      </c>
      <c r="G54" s="6" t="s">
        <v>503</v>
      </c>
      <c r="H54" s="6" t="s">
        <v>432</v>
      </c>
      <c r="I54" s="6" t="s">
        <v>215</v>
      </c>
      <c r="J54" s="6" t="s">
        <v>24</v>
      </c>
      <c r="K54" s="6" t="s">
        <v>39</v>
      </c>
      <c r="L54" s="6" t="s">
        <v>504</v>
      </c>
      <c r="M54" s="6" t="s">
        <v>27</v>
      </c>
      <c r="N54" s="6" t="s">
        <v>41</v>
      </c>
      <c r="O54" s="6" t="s">
        <v>67</v>
      </c>
      <c r="P54" s="6" t="s">
        <v>68</v>
      </c>
      <c r="Q54" s="6" t="s">
        <v>620</v>
      </c>
      <c r="R54" s="6" t="s">
        <v>621</v>
      </c>
      <c r="S54" s="6" t="s">
        <v>621</v>
      </c>
      <c r="T54" s="6" t="s">
        <v>621</v>
      </c>
      <c r="U54" s="6" t="s">
        <v>625</v>
      </c>
      <c r="V54" s="2" t="s">
        <v>622</v>
      </c>
    </row>
    <row r="55" spans="1:22">
      <c r="A55" s="6" t="s">
        <v>505</v>
      </c>
      <c r="B55" s="6" t="s">
        <v>16</v>
      </c>
      <c r="C55" s="6" t="s">
        <v>198</v>
      </c>
      <c r="D55" s="6" t="s">
        <v>199</v>
      </c>
      <c r="E55" s="6" t="s">
        <v>248</v>
      </c>
      <c r="F55" s="6" t="s">
        <v>57</v>
      </c>
      <c r="G55" s="6" t="s">
        <v>506</v>
      </c>
      <c r="H55" s="6" t="s">
        <v>360</v>
      </c>
      <c r="I55" s="6" t="s">
        <v>129</v>
      </c>
      <c r="J55" s="6" t="s">
        <v>24</v>
      </c>
      <c r="K55" s="6" t="s">
        <v>47</v>
      </c>
      <c r="L55" s="6" t="s">
        <v>507</v>
      </c>
      <c r="M55" s="6" t="s">
        <v>62</v>
      </c>
      <c r="N55" s="6"/>
      <c r="O55" s="6"/>
      <c r="P55" s="6"/>
      <c r="Q55" s="6" t="s">
        <v>620</v>
      </c>
      <c r="R55" s="6" t="s">
        <v>621</v>
      </c>
      <c r="S55" s="6" t="s">
        <v>621</v>
      </c>
      <c r="T55" s="6" t="s">
        <v>621</v>
      </c>
      <c r="U55" s="6" t="s">
        <v>625</v>
      </c>
      <c r="V55" s="2" t="s">
        <v>622</v>
      </c>
    </row>
    <row r="56" spans="1:22">
      <c r="A56" s="6" t="s">
        <v>508</v>
      </c>
      <c r="B56" s="6" t="s">
        <v>16</v>
      </c>
      <c r="C56" s="6" t="s">
        <v>202</v>
      </c>
      <c r="D56" s="6" t="s">
        <v>316</v>
      </c>
      <c r="E56" s="6" t="s">
        <v>249</v>
      </c>
      <c r="F56" s="6" t="s">
        <v>340</v>
      </c>
      <c r="G56" s="6" t="s">
        <v>509</v>
      </c>
      <c r="H56" s="6" t="s">
        <v>510</v>
      </c>
      <c r="I56" s="6" t="s">
        <v>251</v>
      </c>
      <c r="J56" s="6" t="s">
        <v>24</v>
      </c>
      <c r="K56" s="6" t="s">
        <v>90</v>
      </c>
      <c r="L56" s="6" t="s">
        <v>511</v>
      </c>
      <c r="M56" s="6" t="s">
        <v>27</v>
      </c>
      <c r="N56" s="6" t="s">
        <v>28</v>
      </c>
      <c r="O56" s="6" t="s">
        <v>29</v>
      </c>
      <c r="P56" s="6" t="s">
        <v>30</v>
      </c>
      <c r="Q56" s="6" t="s">
        <v>620</v>
      </c>
      <c r="R56" s="6" t="s">
        <v>621</v>
      </c>
      <c r="S56" s="6" t="s">
        <v>621</v>
      </c>
      <c r="T56" s="6" t="s">
        <v>621</v>
      </c>
      <c r="U56" s="6" t="s">
        <v>625</v>
      </c>
      <c r="V56" s="2" t="s">
        <v>622</v>
      </c>
    </row>
    <row r="57" spans="1:22">
      <c r="A57" s="6" t="s">
        <v>512</v>
      </c>
      <c r="B57" s="6" t="s">
        <v>16</v>
      </c>
      <c r="C57" s="6" t="s">
        <v>54</v>
      </c>
      <c r="D57" s="6" t="s">
        <v>205</v>
      </c>
      <c r="E57" s="6" t="s">
        <v>252</v>
      </c>
      <c r="F57" s="6" t="s">
        <v>326</v>
      </c>
      <c r="G57" s="6" t="s">
        <v>513</v>
      </c>
      <c r="H57" s="6" t="s">
        <v>364</v>
      </c>
      <c r="I57" s="6" t="s">
        <v>136</v>
      </c>
      <c r="J57" s="6" t="s">
        <v>24</v>
      </c>
      <c r="K57" s="6" t="s">
        <v>25</v>
      </c>
      <c r="L57" s="6" t="s">
        <v>514</v>
      </c>
      <c r="M57" s="6" t="s">
        <v>27</v>
      </c>
      <c r="N57" s="6" t="s">
        <v>41</v>
      </c>
      <c r="O57" s="6" t="s">
        <v>73</v>
      </c>
      <c r="P57" s="6" t="s">
        <v>74</v>
      </c>
      <c r="Q57" s="6" t="s">
        <v>620</v>
      </c>
      <c r="R57" s="6" t="s">
        <v>621</v>
      </c>
      <c r="S57" s="6" t="s">
        <v>621</v>
      </c>
      <c r="T57" s="6" t="s">
        <v>621</v>
      </c>
      <c r="U57" s="6" t="s">
        <v>625</v>
      </c>
      <c r="V57" s="2" t="s">
        <v>622</v>
      </c>
    </row>
    <row r="58" spans="1:22">
      <c r="A58" s="6" t="s">
        <v>515</v>
      </c>
      <c r="B58" s="6" t="s">
        <v>16</v>
      </c>
      <c r="C58" s="6" t="s">
        <v>207</v>
      </c>
      <c r="D58" s="6" t="s">
        <v>208</v>
      </c>
      <c r="E58" s="6" t="s">
        <v>253</v>
      </c>
      <c r="F58" s="6" t="s">
        <v>327</v>
      </c>
      <c r="G58" s="6" t="s">
        <v>516</v>
      </c>
      <c r="H58" s="6" t="s">
        <v>368</v>
      </c>
      <c r="I58" s="6" t="s">
        <v>306</v>
      </c>
      <c r="J58" s="6" t="s">
        <v>24</v>
      </c>
      <c r="K58" s="6" t="s">
        <v>50</v>
      </c>
      <c r="L58" s="6" t="s">
        <v>517</v>
      </c>
      <c r="M58" s="6" t="s">
        <v>62</v>
      </c>
      <c r="N58" s="6"/>
      <c r="O58" s="6"/>
      <c r="P58" s="6"/>
      <c r="Q58" s="6" t="s">
        <v>620</v>
      </c>
      <c r="R58" s="6" t="s">
        <v>621</v>
      </c>
      <c r="S58" s="6" t="s">
        <v>621</v>
      </c>
      <c r="T58" s="6" t="s">
        <v>621</v>
      </c>
      <c r="U58" s="6" t="s">
        <v>625</v>
      </c>
      <c r="V58" s="2" t="s">
        <v>622</v>
      </c>
    </row>
    <row r="59" spans="1:22">
      <c r="A59" s="6" t="s">
        <v>518</v>
      </c>
      <c r="B59" s="6" t="s">
        <v>16</v>
      </c>
      <c r="C59" s="6" t="s">
        <v>254</v>
      </c>
      <c r="D59" s="6" t="s">
        <v>76</v>
      </c>
      <c r="E59" s="6" t="s">
        <v>256</v>
      </c>
      <c r="F59" s="6" t="s">
        <v>20</v>
      </c>
      <c r="G59" s="6" t="s">
        <v>519</v>
      </c>
      <c r="H59" s="6" t="s">
        <v>372</v>
      </c>
      <c r="I59" s="6" t="s">
        <v>145</v>
      </c>
      <c r="J59" s="6" t="s">
        <v>24</v>
      </c>
      <c r="K59" s="6" t="s">
        <v>39</v>
      </c>
      <c r="L59" s="6" t="s">
        <v>520</v>
      </c>
      <c r="M59" s="6" t="s">
        <v>27</v>
      </c>
      <c r="N59" s="6" t="s">
        <v>28</v>
      </c>
      <c r="O59" s="6" t="s">
        <v>42</v>
      </c>
      <c r="P59" s="6" t="s">
        <v>43</v>
      </c>
      <c r="Q59" s="6" t="s">
        <v>620</v>
      </c>
      <c r="R59" s="6" t="s">
        <v>621</v>
      </c>
      <c r="S59" s="6" t="s">
        <v>621</v>
      </c>
      <c r="T59" s="6" t="s">
        <v>621</v>
      </c>
      <c r="U59" s="6" t="s">
        <v>625</v>
      </c>
      <c r="V59" s="2" t="s">
        <v>622</v>
      </c>
    </row>
    <row r="60" spans="1:22">
      <c r="A60" s="6" t="s">
        <v>521</v>
      </c>
      <c r="B60" s="6" t="s">
        <v>16</v>
      </c>
      <c r="C60" s="6" t="s">
        <v>212</v>
      </c>
      <c r="D60" s="6" t="s">
        <v>213</v>
      </c>
      <c r="E60" s="6" t="s">
        <v>257</v>
      </c>
      <c r="F60" s="6" t="s">
        <v>328</v>
      </c>
      <c r="G60" s="6" t="s">
        <v>522</v>
      </c>
      <c r="H60" s="6" t="s">
        <v>376</v>
      </c>
      <c r="I60" s="6" t="s">
        <v>308</v>
      </c>
      <c r="J60" s="6" t="s">
        <v>24</v>
      </c>
      <c r="K60" s="6" t="s">
        <v>47</v>
      </c>
      <c r="L60" s="6" t="s">
        <v>523</v>
      </c>
      <c r="M60" s="6" t="s">
        <v>27</v>
      </c>
      <c r="N60" s="6" t="s">
        <v>41</v>
      </c>
      <c r="O60" s="6" t="s">
        <v>29</v>
      </c>
      <c r="P60" s="6" t="s">
        <v>30</v>
      </c>
      <c r="Q60" s="6" t="s">
        <v>620</v>
      </c>
      <c r="R60" s="6" t="s">
        <v>621</v>
      </c>
      <c r="S60" s="6" t="s">
        <v>621</v>
      </c>
      <c r="T60" s="6" t="s">
        <v>621</v>
      </c>
      <c r="U60" s="6" t="s">
        <v>625</v>
      </c>
      <c r="V60" s="2" t="s">
        <v>622</v>
      </c>
    </row>
    <row r="61" spans="1:22">
      <c r="A61" s="6" t="s">
        <v>524</v>
      </c>
      <c r="B61" s="6" t="s">
        <v>16</v>
      </c>
      <c r="C61" s="6" t="s">
        <v>17</v>
      </c>
      <c r="D61" s="6" t="s">
        <v>18</v>
      </c>
      <c r="E61" s="6" t="s">
        <v>258</v>
      </c>
      <c r="F61" s="6" t="s">
        <v>329</v>
      </c>
      <c r="G61" s="6" t="s">
        <v>525</v>
      </c>
      <c r="H61" s="6" t="s">
        <v>379</v>
      </c>
      <c r="I61" s="6" t="s">
        <v>155</v>
      </c>
      <c r="J61" s="6" t="s">
        <v>24</v>
      </c>
      <c r="K61" s="6" t="s">
        <v>90</v>
      </c>
      <c r="L61" s="6" t="s">
        <v>526</v>
      </c>
      <c r="M61" s="6" t="s">
        <v>62</v>
      </c>
      <c r="N61" s="6"/>
      <c r="O61" s="6"/>
      <c r="P61" s="6"/>
      <c r="Q61" s="6" t="s">
        <v>623</v>
      </c>
      <c r="R61" s="6" t="s">
        <v>27</v>
      </c>
      <c r="S61" s="6" t="s">
        <v>62</v>
      </c>
      <c r="T61" s="6" t="s">
        <v>62</v>
      </c>
      <c r="U61" s="6" t="s">
        <v>624</v>
      </c>
      <c r="V61" s="2" t="s">
        <v>678</v>
      </c>
    </row>
    <row r="62" spans="1:22">
      <c r="A62" s="6" t="s">
        <v>527</v>
      </c>
      <c r="B62" s="6" t="s">
        <v>16</v>
      </c>
      <c r="C62" s="6" t="s">
        <v>83</v>
      </c>
      <c r="D62" s="6" t="s">
        <v>105</v>
      </c>
      <c r="E62" s="6" t="s">
        <v>259</v>
      </c>
      <c r="F62" s="6" t="s">
        <v>330</v>
      </c>
      <c r="G62" s="6" t="s">
        <v>528</v>
      </c>
      <c r="H62" s="6" t="s">
        <v>37</v>
      </c>
      <c r="I62" s="6" t="s">
        <v>38</v>
      </c>
      <c r="J62" s="6" t="s">
        <v>24</v>
      </c>
      <c r="K62" s="6" t="s">
        <v>25</v>
      </c>
      <c r="L62" s="6" t="s">
        <v>529</v>
      </c>
      <c r="M62" s="6" t="s">
        <v>27</v>
      </c>
      <c r="N62" s="6" t="s">
        <v>28</v>
      </c>
      <c r="O62" s="6" t="s">
        <v>67</v>
      </c>
      <c r="P62" s="6" t="s">
        <v>68</v>
      </c>
      <c r="Q62" s="6" t="s">
        <v>623</v>
      </c>
      <c r="R62" s="6" t="s">
        <v>27</v>
      </c>
      <c r="S62" s="6" t="s">
        <v>62</v>
      </c>
      <c r="T62" s="6" t="s">
        <v>62</v>
      </c>
      <c r="U62" s="6" t="s">
        <v>624</v>
      </c>
      <c r="V62" s="2" t="s">
        <v>678</v>
      </c>
    </row>
    <row r="63" spans="1:22">
      <c r="A63" s="6" t="s">
        <v>530</v>
      </c>
      <c r="B63" s="6" t="s">
        <v>16</v>
      </c>
      <c r="C63" s="6" t="s">
        <v>109</v>
      </c>
      <c r="D63" s="6" t="s">
        <v>302</v>
      </c>
      <c r="E63" s="6" t="s">
        <v>260</v>
      </c>
      <c r="F63" s="6" t="s">
        <v>318</v>
      </c>
      <c r="G63" s="6" t="s">
        <v>531</v>
      </c>
      <c r="H63" s="6" t="s">
        <v>457</v>
      </c>
      <c r="I63" s="6" t="s">
        <v>319</v>
      </c>
      <c r="J63" s="6" t="s">
        <v>24</v>
      </c>
      <c r="K63" s="6" t="s">
        <v>50</v>
      </c>
      <c r="L63" s="6" t="s">
        <v>532</v>
      </c>
      <c r="M63" s="6" t="s">
        <v>27</v>
      </c>
      <c r="N63" s="6" t="s">
        <v>41</v>
      </c>
      <c r="O63" s="6" t="s">
        <v>42</v>
      </c>
      <c r="P63" s="6" t="s">
        <v>43</v>
      </c>
      <c r="Q63" s="6" t="s">
        <v>623</v>
      </c>
      <c r="R63" s="6" t="s">
        <v>27</v>
      </c>
      <c r="S63" s="6" t="s">
        <v>62</v>
      </c>
      <c r="T63" s="6" t="s">
        <v>62</v>
      </c>
      <c r="U63" s="6" t="s">
        <v>624</v>
      </c>
      <c r="V63" s="2" t="s">
        <v>678</v>
      </c>
    </row>
    <row r="64" spans="1:22">
      <c r="A64" s="6" t="s">
        <v>533</v>
      </c>
      <c r="B64" s="6" t="s">
        <v>16</v>
      </c>
      <c r="C64" s="6" t="s">
        <v>83</v>
      </c>
      <c r="D64" s="6" t="s">
        <v>84</v>
      </c>
      <c r="E64" s="6" t="s">
        <v>85</v>
      </c>
      <c r="F64" s="6" t="s">
        <v>320</v>
      </c>
      <c r="G64" s="6" t="s">
        <v>124</v>
      </c>
      <c r="H64" s="6" t="s">
        <v>88</v>
      </c>
      <c r="I64" s="6" t="s">
        <v>89</v>
      </c>
      <c r="J64" s="6" t="s">
        <v>24</v>
      </c>
      <c r="K64" s="6" t="s">
        <v>47</v>
      </c>
      <c r="L64" s="6" t="s">
        <v>534</v>
      </c>
      <c r="M64" s="6" t="s">
        <v>62</v>
      </c>
      <c r="N64" s="6"/>
      <c r="O64" s="6"/>
      <c r="P64" s="6"/>
      <c r="Q64" s="6" t="s">
        <v>623</v>
      </c>
      <c r="R64" s="6" t="s">
        <v>27</v>
      </c>
      <c r="S64" s="6" t="s">
        <v>27</v>
      </c>
      <c r="T64" s="6" t="s">
        <v>621</v>
      </c>
      <c r="U64" s="6" t="s">
        <v>625</v>
      </c>
      <c r="V64" s="2" t="s">
        <v>627</v>
      </c>
    </row>
    <row r="65" spans="1:22">
      <c r="A65" s="6" t="s">
        <v>535</v>
      </c>
      <c r="B65" s="6" t="s">
        <v>16</v>
      </c>
      <c r="C65" s="6" t="s">
        <v>118</v>
      </c>
      <c r="D65" s="6" t="s">
        <v>119</v>
      </c>
      <c r="E65" s="6" t="s">
        <v>262</v>
      </c>
      <c r="F65" s="6" t="s">
        <v>332</v>
      </c>
      <c r="G65" s="6" t="s">
        <v>536</v>
      </c>
      <c r="H65" s="6" t="s">
        <v>391</v>
      </c>
      <c r="I65" s="6" t="s">
        <v>169</v>
      </c>
      <c r="J65" s="6" t="s">
        <v>24</v>
      </c>
      <c r="K65" s="6" t="s">
        <v>47</v>
      </c>
      <c r="L65" s="6" t="s">
        <v>537</v>
      </c>
      <c r="M65" s="6" t="s">
        <v>27</v>
      </c>
      <c r="N65" s="6" t="s">
        <v>28</v>
      </c>
      <c r="O65" s="6" t="s">
        <v>73</v>
      </c>
      <c r="P65" s="6" t="s">
        <v>74</v>
      </c>
      <c r="Q65" s="6" t="s">
        <v>623</v>
      </c>
      <c r="R65" s="6" t="s">
        <v>27</v>
      </c>
      <c r="S65" s="6" t="s">
        <v>62</v>
      </c>
      <c r="T65" s="6" t="s">
        <v>62</v>
      </c>
      <c r="U65" s="6" t="s">
        <v>624</v>
      </c>
      <c r="V65" s="2" t="s">
        <v>678</v>
      </c>
    </row>
    <row r="66" spans="1:22">
      <c r="A66" s="6" t="s">
        <v>538</v>
      </c>
      <c r="B66" s="6" t="s">
        <v>31</v>
      </c>
      <c r="C66" s="6" t="s">
        <v>220</v>
      </c>
      <c r="D66" s="6" t="s">
        <v>221</v>
      </c>
      <c r="E66" s="6" t="s">
        <v>263</v>
      </c>
      <c r="F66" s="6" t="s">
        <v>333</v>
      </c>
      <c r="G66" s="6" t="s">
        <v>539</v>
      </c>
      <c r="H66" s="6" t="s">
        <v>395</v>
      </c>
      <c r="I66" s="6" t="s">
        <v>173</v>
      </c>
      <c r="J66" s="6" t="s">
        <v>24</v>
      </c>
      <c r="K66" s="6" t="s">
        <v>90</v>
      </c>
      <c r="L66" s="6" t="s">
        <v>540</v>
      </c>
      <c r="M66" s="6" t="s">
        <v>27</v>
      </c>
      <c r="N66" s="6" t="s">
        <v>41</v>
      </c>
      <c r="O66" s="6" t="s">
        <v>67</v>
      </c>
      <c r="P66" s="6" t="s">
        <v>68</v>
      </c>
      <c r="Q66" s="6" t="s">
        <v>623</v>
      </c>
      <c r="R66" s="6" t="s">
        <v>621</v>
      </c>
      <c r="S66" s="6" t="s">
        <v>621</v>
      </c>
      <c r="T66" s="6" t="s">
        <v>621</v>
      </c>
      <c r="U66" s="6" t="s">
        <v>625</v>
      </c>
      <c r="V66" s="2" t="s">
        <v>679</v>
      </c>
    </row>
    <row r="67" spans="1:22">
      <c r="A67" s="6" t="s">
        <v>541</v>
      </c>
      <c r="B67" s="6" t="s">
        <v>16</v>
      </c>
      <c r="C67" s="6" t="s">
        <v>125</v>
      </c>
      <c r="D67" s="6" t="s">
        <v>304</v>
      </c>
      <c r="E67" s="6" t="s">
        <v>264</v>
      </c>
      <c r="F67" s="6" t="s">
        <v>334</v>
      </c>
      <c r="G67" s="6" t="s">
        <v>542</v>
      </c>
      <c r="H67" s="6" t="s">
        <v>398</v>
      </c>
      <c r="I67" s="6" t="s">
        <v>178</v>
      </c>
      <c r="J67" s="6" t="s">
        <v>24</v>
      </c>
      <c r="K67" s="6" t="s">
        <v>25</v>
      </c>
      <c r="L67" s="6" t="s">
        <v>543</v>
      </c>
      <c r="M67" s="6" t="s">
        <v>62</v>
      </c>
      <c r="N67" s="6"/>
      <c r="O67" s="6"/>
      <c r="P67" s="6"/>
      <c r="Q67" s="6" t="s">
        <v>623</v>
      </c>
      <c r="R67" s="6" t="s">
        <v>27</v>
      </c>
      <c r="S67" s="6" t="s">
        <v>62</v>
      </c>
      <c r="T67" s="6" t="s">
        <v>62</v>
      </c>
      <c r="U67" s="6" t="s">
        <v>624</v>
      </c>
      <c r="V67" s="2" t="s">
        <v>678</v>
      </c>
    </row>
    <row r="68" spans="1:22">
      <c r="A68" s="6" t="s">
        <v>544</v>
      </c>
      <c r="B68" s="6" t="s">
        <v>16</v>
      </c>
      <c r="C68" s="6" t="s">
        <v>265</v>
      </c>
      <c r="D68" s="6" t="s">
        <v>266</v>
      </c>
      <c r="E68" s="6" t="s">
        <v>267</v>
      </c>
      <c r="F68" s="6" t="s">
        <v>338</v>
      </c>
      <c r="G68" s="6" t="s">
        <v>545</v>
      </c>
      <c r="H68" s="6" t="s">
        <v>473</v>
      </c>
      <c r="I68" s="6" t="s">
        <v>234</v>
      </c>
      <c r="J68" s="6" t="s">
        <v>24</v>
      </c>
      <c r="K68" s="6" t="s">
        <v>50</v>
      </c>
      <c r="L68" s="6" t="s">
        <v>546</v>
      </c>
      <c r="M68" s="6" t="s">
        <v>27</v>
      </c>
      <c r="N68" s="6" t="s">
        <v>28</v>
      </c>
      <c r="O68" s="6" t="s">
        <v>29</v>
      </c>
      <c r="P68" s="6" t="s">
        <v>30</v>
      </c>
      <c r="Q68" s="6" t="s">
        <v>623</v>
      </c>
      <c r="R68" s="6" t="s">
        <v>27</v>
      </c>
      <c r="S68" s="6" t="s">
        <v>62</v>
      </c>
      <c r="T68" s="6" t="s">
        <v>62</v>
      </c>
      <c r="U68" s="6" t="s">
        <v>624</v>
      </c>
      <c r="V68" s="2" t="s">
        <v>678</v>
      </c>
    </row>
    <row r="69" spans="1:22">
      <c r="A69" s="6" t="s">
        <v>547</v>
      </c>
      <c r="B69" s="6" t="s">
        <v>16</v>
      </c>
      <c r="C69" s="6" t="s">
        <v>132</v>
      </c>
      <c r="D69" s="6" t="s">
        <v>133</v>
      </c>
      <c r="E69" s="6" t="s">
        <v>268</v>
      </c>
      <c r="F69" s="6" t="s">
        <v>335</v>
      </c>
      <c r="G69" s="6" t="s">
        <v>548</v>
      </c>
      <c r="H69" s="6" t="s">
        <v>404</v>
      </c>
      <c r="I69" s="6" t="s">
        <v>313</v>
      </c>
      <c r="J69" s="6" t="s">
        <v>24</v>
      </c>
      <c r="K69" s="6" t="s">
        <v>39</v>
      </c>
      <c r="L69" s="6" t="s">
        <v>549</v>
      </c>
      <c r="M69" s="6" t="s">
        <v>27</v>
      </c>
      <c r="N69" s="6" t="s">
        <v>41</v>
      </c>
      <c r="O69" s="6" t="s">
        <v>73</v>
      </c>
      <c r="P69" s="6" t="s">
        <v>74</v>
      </c>
      <c r="Q69" s="6" t="s">
        <v>623</v>
      </c>
      <c r="R69" s="6" t="s">
        <v>27</v>
      </c>
      <c r="S69" s="6" t="s">
        <v>62</v>
      </c>
      <c r="T69" s="6" t="s">
        <v>62</v>
      </c>
      <c r="U69" s="6" t="s">
        <v>624</v>
      </c>
      <c r="V69" s="2" t="s">
        <v>678</v>
      </c>
    </row>
    <row r="70" spans="1:22">
      <c r="A70" s="6" t="s">
        <v>550</v>
      </c>
      <c r="B70" s="6" t="s">
        <v>16</v>
      </c>
      <c r="C70" s="6" t="s">
        <v>137</v>
      </c>
      <c r="D70" s="6" t="s">
        <v>305</v>
      </c>
      <c r="E70" s="6" t="s">
        <v>269</v>
      </c>
      <c r="F70" s="6" t="s">
        <v>336</v>
      </c>
      <c r="G70" s="6" t="s">
        <v>551</v>
      </c>
      <c r="H70" s="6" t="s">
        <v>88</v>
      </c>
      <c r="I70" s="6" t="s">
        <v>89</v>
      </c>
      <c r="J70" s="6" t="s">
        <v>24</v>
      </c>
      <c r="K70" s="6" t="s">
        <v>47</v>
      </c>
      <c r="L70" s="6" t="s">
        <v>552</v>
      </c>
      <c r="M70" s="6" t="s">
        <v>62</v>
      </c>
      <c r="N70" s="6"/>
      <c r="O70" s="6"/>
      <c r="P70" s="6"/>
      <c r="Q70" s="6" t="s">
        <v>623</v>
      </c>
      <c r="R70" s="6" t="s">
        <v>27</v>
      </c>
      <c r="S70" s="6" t="s">
        <v>62</v>
      </c>
      <c r="T70" s="6" t="s">
        <v>62</v>
      </c>
      <c r="U70" s="6" t="s">
        <v>624</v>
      </c>
      <c r="V70" s="2" t="s">
        <v>678</v>
      </c>
    </row>
    <row r="71" spans="1:22">
      <c r="A71" s="6" t="s">
        <v>553</v>
      </c>
      <c r="B71" s="6" t="s">
        <v>16</v>
      </c>
      <c r="C71" s="6" t="s">
        <v>142</v>
      </c>
      <c r="D71" s="6" t="s">
        <v>307</v>
      </c>
      <c r="E71" s="6" t="s">
        <v>270</v>
      </c>
      <c r="F71" s="6" t="s">
        <v>337</v>
      </c>
      <c r="G71" s="6" t="s">
        <v>554</v>
      </c>
      <c r="H71" s="6" t="s">
        <v>410</v>
      </c>
      <c r="I71" s="6" t="s">
        <v>315</v>
      </c>
      <c r="J71" s="6" t="s">
        <v>24</v>
      </c>
      <c r="K71" s="6" t="s">
        <v>90</v>
      </c>
      <c r="L71" s="6" t="s">
        <v>555</v>
      </c>
      <c r="M71" s="6" t="s">
        <v>27</v>
      </c>
      <c r="N71" s="6" t="s">
        <v>28</v>
      </c>
      <c r="O71" s="6" t="s">
        <v>42</v>
      </c>
      <c r="P71" s="6" t="s">
        <v>43</v>
      </c>
      <c r="Q71" s="6" t="s">
        <v>623</v>
      </c>
      <c r="R71" s="6" t="s">
        <v>27</v>
      </c>
      <c r="S71" s="6" t="s">
        <v>62</v>
      </c>
      <c r="T71" s="6" t="s">
        <v>62</v>
      </c>
      <c r="U71" s="6" t="s">
        <v>624</v>
      </c>
      <c r="V71" s="2" t="s">
        <v>678</v>
      </c>
    </row>
    <row r="72" spans="1:22">
      <c r="A72" s="6" t="s">
        <v>556</v>
      </c>
      <c r="B72" s="6" t="s">
        <v>16</v>
      </c>
      <c r="C72" s="6" t="s">
        <v>146</v>
      </c>
      <c r="D72" s="6" t="s">
        <v>33</v>
      </c>
      <c r="E72" s="6" t="s">
        <v>271</v>
      </c>
      <c r="F72" s="6" t="s">
        <v>86</v>
      </c>
      <c r="G72" s="6" t="s">
        <v>557</v>
      </c>
      <c r="H72" s="6" t="s">
        <v>414</v>
      </c>
      <c r="I72" s="6" t="s">
        <v>197</v>
      </c>
      <c r="J72" s="6" t="s">
        <v>24</v>
      </c>
      <c r="K72" s="6" t="s">
        <v>25</v>
      </c>
      <c r="L72" s="6" t="s">
        <v>558</v>
      </c>
      <c r="M72" s="6" t="s">
        <v>27</v>
      </c>
      <c r="N72" s="6" t="s">
        <v>41</v>
      </c>
      <c r="O72" s="6" t="s">
        <v>29</v>
      </c>
      <c r="P72" s="6" t="s">
        <v>30</v>
      </c>
      <c r="Q72" s="6" t="s">
        <v>623</v>
      </c>
      <c r="R72" s="6" t="s">
        <v>27</v>
      </c>
      <c r="S72" s="6" t="s">
        <v>62</v>
      </c>
      <c r="T72" s="6" t="s">
        <v>62</v>
      </c>
      <c r="U72" s="6" t="s">
        <v>624</v>
      </c>
      <c r="V72" s="2" t="s">
        <v>678</v>
      </c>
    </row>
    <row r="73" spans="1:22">
      <c r="A73" s="6" t="s">
        <v>559</v>
      </c>
      <c r="B73" s="6" t="s">
        <v>16</v>
      </c>
      <c r="C73" s="6" t="s">
        <v>151</v>
      </c>
      <c r="D73" s="6" t="s">
        <v>152</v>
      </c>
      <c r="E73" s="6" t="s">
        <v>272</v>
      </c>
      <c r="F73" s="6" t="s">
        <v>45</v>
      </c>
      <c r="G73" s="6" t="s">
        <v>560</v>
      </c>
      <c r="H73" s="6" t="s">
        <v>22</v>
      </c>
      <c r="I73" s="6" t="s">
        <v>23</v>
      </c>
      <c r="J73" s="6" t="s">
        <v>24</v>
      </c>
      <c r="K73" s="6" t="s">
        <v>50</v>
      </c>
      <c r="L73" s="6" t="s">
        <v>561</v>
      </c>
      <c r="M73" s="6" t="s">
        <v>62</v>
      </c>
      <c r="N73" s="6"/>
      <c r="O73" s="6"/>
      <c r="P73" s="6"/>
      <c r="Q73" s="6" t="s">
        <v>623</v>
      </c>
      <c r="R73" s="6" t="s">
        <v>27</v>
      </c>
      <c r="S73" s="6" t="s">
        <v>62</v>
      </c>
      <c r="T73" s="6" t="s">
        <v>62</v>
      </c>
      <c r="U73" s="6" t="s">
        <v>624</v>
      </c>
      <c r="V73" s="2" t="s">
        <v>678</v>
      </c>
    </row>
    <row r="74" spans="1:22">
      <c r="A74" s="6" t="s">
        <v>562</v>
      </c>
      <c r="B74" s="6" t="s">
        <v>16</v>
      </c>
      <c r="C74" s="6" t="s">
        <v>32</v>
      </c>
      <c r="D74" s="6" t="s">
        <v>309</v>
      </c>
      <c r="E74" s="6" t="s">
        <v>273</v>
      </c>
      <c r="F74" s="6" t="s">
        <v>322</v>
      </c>
      <c r="G74" s="6" t="s">
        <v>563</v>
      </c>
      <c r="H74" s="6" t="s">
        <v>343</v>
      </c>
      <c r="I74" s="6" t="s">
        <v>108</v>
      </c>
      <c r="J74" s="6" t="s">
        <v>24</v>
      </c>
      <c r="K74" s="6" t="s">
        <v>39</v>
      </c>
      <c r="L74" s="6" t="s">
        <v>564</v>
      </c>
      <c r="M74" s="6" t="s">
        <v>27</v>
      </c>
      <c r="N74" s="6" t="s">
        <v>28</v>
      </c>
      <c r="O74" s="6" t="s">
        <v>67</v>
      </c>
      <c r="P74" s="6" t="s">
        <v>68</v>
      </c>
      <c r="Q74" s="6" t="s">
        <v>623</v>
      </c>
      <c r="R74" s="6" t="s">
        <v>27</v>
      </c>
      <c r="S74" s="6" t="s">
        <v>62</v>
      </c>
      <c r="T74" s="6" t="s">
        <v>62</v>
      </c>
      <c r="U74" s="6" t="s">
        <v>624</v>
      </c>
      <c r="V74" s="2" t="s">
        <v>678</v>
      </c>
    </row>
    <row r="75" spans="1:22">
      <c r="A75" s="6" t="s">
        <v>565</v>
      </c>
      <c r="B75" s="6" t="s">
        <v>16</v>
      </c>
      <c r="C75" s="6" t="s">
        <v>75</v>
      </c>
      <c r="D75" s="6" t="s">
        <v>339</v>
      </c>
      <c r="E75" s="6" t="s">
        <v>274</v>
      </c>
      <c r="F75" s="6" t="s">
        <v>323</v>
      </c>
      <c r="G75" s="6" t="s">
        <v>566</v>
      </c>
      <c r="H75" s="6" t="s">
        <v>59</v>
      </c>
      <c r="I75" s="6" t="s">
        <v>60</v>
      </c>
      <c r="J75" s="6" t="s">
        <v>24</v>
      </c>
      <c r="K75" s="6" t="s">
        <v>47</v>
      </c>
      <c r="L75" s="6" t="s">
        <v>567</v>
      </c>
      <c r="M75" s="6" t="s">
        <v>27</v>
      </c>
      <c r="N75" s="6" t="s">
        <v>41</v>
      </c>
      <c r="O75" s="6" t="s">
        <v>42</v>
      </c>
      <c r="P75" s="6" t="s">
        <v>43</v>
      </c>
      <c r="Q75" s="6" t="s">
        <v>623</v>
      </c>
      <c r="R75" s="6" t="s">
        <v>27</v>
      </c>
      <c r="S75" s="6" t="s">
        <v>62</v>
      </c>
      <c r="T75" s="6" t="s">
        <v>62</v>
      </c>
      <c r="U75" s="6" t="s">
        <v>624</v>
      </c>
      <c r="V75" s="2" t="s">
        <v>678</v>
      </c>
    </row>
    <row r="76" spans="1:22">
      <c r="A76" s="6" t="s">
        <v>568</v>
      </c>
      <c r="B76" s="6" t="s">
        <v>16</v>
      </c>
      <c r="C76" s="6" t="s">
        <v>160</v>
      </c>
      <c r="D76" s="6" t="s">
        <v>310</v>
      </c>
      <c r="E76" s="6" t="s">
        <v>275</v>
      </c>
      <c r="F76" s="6" t="s">
        <v>325</v>
      </c>
      <c r="G76" s="6" t="s">
        <v>569</v>
      </c>
      <c r="H76" s="6" t="s">
        <v>350</v>
      </c>
      <c r="I76" s="6" t="s">
        <v>117</v>
      </c>
      <c r="J76" s="6" t="s">
        <v>24</v>
      </c>
      <c r="K76" s="6" t="s">
        <v>90</v>
      </c>
      <c r="L76" s="6" t="s">
        <v>570</v>
      </c>
      <c r="M76" s="6" t="s">
        <v>62</v>
      </c>
      <c r="N76" s="6"/>
      <c r="O76" s="6"/>
      <c r="P76" s="6"/>
      <c r="Q76" s="6" t="s">
        <v>623</v>
      </c>
      <c r="R76" s="6" t="s">
        <v>27</v>
      </c>
      <c r="S76" s="6" t="s">
        <v>62</v>
      </c>
      <c r="T76" s="6" t="s">
        <v>62</v>
      </c>
      <c r="U76" s="6" t="s">
        <v>624</v>
      </c>
      <c r="V76" s="2" t="s">
        <v>678</v>
      </c>
    </row>
    <row r="77" spans="1:22">
      <c r="A77" s="6" t="s">
        <v>571</v>
      </c>
      <c r="B77" s="6" t="s">
        <v>16</v>
      </c>
      <c r="C77" s="6" t="s">
        <v>165</v>
      </c>
      <c r="D77" s="6" t="s">
        <v>166</v>
      </c>
      <c r="E77" s="6" t="s">
        <v>276</v>
      </c>
      <c r="F77" s="6" t="s">
        <v>95</v>
      </c>
      <c r="G77" s="6" t="s">
        <v>572</v>
      </c>
      <c r="H77" s="6" t="s">
        <v>354</v>
      </c>
      <c r="I77" s="6" t="s">
        <v>303</v>
      </c>
      <c r="J77" s="6" t="s">
        <v>24</v>
      </c>
      <c r="K77" s="6" t="s">
        <v>25</v>
      </c>
      <c r="L77" s="6" t="s">
        <v>573</v>
      </c>
      <c r="M77" s="6" t="s">
        <v>27</v>
      </c>
      <c r="N77" s="6" t="s">
        <v>28</v>
      </c>
      <c r="O77" s="6" t="s">
        <v>73</v>
      </c>
      <c r="P77" s="6" t="s">
        <v>74</v>
      </c>
      <c r="Q77" s="6" t="s">
        <v>623</v>
      </c>
      <c r="R77" s="6" t="s">
        <v>27</v>
      </c>
      <c r="S77" s="6" t="s">
        <v>62</v>
      </c>
      <c r="T77" s="6" t="s">
        <v>62</v>
      </c>
      <c r="U77" s="6" t="s">
        <v>624</v>
      </c>
      <c r="V77" s="2" t="s">
        <v>678</v>
      </c>
    </row>
    <row r="78" spans="1:22">
      <c r="A78" s="6" t="s">
        <v>574</v>
      </c>
      <c r="B78" s="6" t="s">
        <v>16</v>
      </c>
      <c r="C78" s="6" t="s">
        <v>170</v>
      </c>
      <c r="D78" s="6" t="s">
        <v>84</v>
      </c>
      <c r="E78" s="6" t="s">
        <v>277</v>
      </c>
      <c r="F78" s="6" t="s">
        <v>35</v>
      </c>
      <c r="G78" s="6" t="s">
        <v>575</v>
      </c>
      <c r="H78" s="6" t="s">
        <v>432</v>
      </c>
      <c r="I78" s="6" t="s">
        <v>215</v>
      </c>
      <c r="J78" s="6" t="s">
        <v>24</v>
      </c>
      <c r="K78" s="6" t="s">
        <v>50</v>
      </c>
      <c r="L78" s="6" t="s">
        <v>576</v>
      </c>
      <c r="M78" s="6" t="s">
        <v>27</v>
      </c>
      <c r="N78" s="6" t="s">
        <v>41</v>
      </c>
      <c r="O78" s="6" t="s">
        <v>67</v>
      </c>
      <c r="P78" s="6" t="s">
        <v>68</v>
      </c>
      <c r="Q78" s="6" t="s">
        <v>623</v>
      </c>
      <c r="R78" s="6" t="s">
        <v>27</v>
      </c>
      <c r="S78" s="6" t="s">
        <v>62</v>
      </c>
      <c r="T78" s="6" t="s">
        <v>62</v>
      </c>
      <c r="U78" s="6" t="s">
        <v>624</v>
      </c>
      <c r="V78" s="2" t="s">
        <v>678</v>
      </c>
    </row>
    <row r="79" spans="1:22">
      <c r="A79" s="6" t="s">
        <v>577</v>
      </c>
      <c r="B79" s="6" t="s">
        <v>31</v>
      </c>
      <c r="C79" s="6" t="s">
        <v>174</v>
      </c>
      <c r="D79" s="6" t="s">
        <v>175</v>
      </c>
      <c r="E79" s="6" t="s">
        <v>278</v>
      </c>
      <c r="F79" s="6" t="s">
        <v>57</v>
      </c>
      <c r="G79" s="6" t="s">
        <v>578</v>
      </c>
      <c r="H79" s="6" t="s">
        <v>360</v>
      </c>
      <c r="I79" s="6" t="s">
        <v>129</v>
      </c>
      <c r="J79" s="6" t="s">
        <v>24</v>
      </c>
      <c r="K79" s="6" t="s">
        <v>39</v>
      </c>
      <c r="L79" s="6" t="s">
        <v>579</v>
      </c>
      <c r="M79" s="6" t="s">
        <v>62</v>
      </c>
      <c r="N79" s="6"/>
      <c r="O79" s="6"/>
      <c r="P79" s="6"/>
      <c r="Q79" s="6" t="s">
        <v>623</v>
      </c>
      <c r="R79" s="6" t="s">
        <v>621</v>
      </c>
      <c r="S79" s="6" t="s">
        <v>621</v>
      </c>
      <c r="T79" s="6" t="s">
        <v>621</v>
      </c>
      <c r="U79" s="6" t="s">
        <v>625</v>
      </c>
      <c r="V79" s="2" t="s">
        <v>679</v>
      </c>
    </row>
    <row r="80" spans="1:22">
      <c r="A80" s="6" t="s">
        <v>580</v>
      </c>
      <c r="B80" s="6" t="s">
        <v>16</v>
      </c>
      <c r="C80" s="6" t="s">
        <v>241</v>
      </c>
      <c r="D80" s="6" t="s">
        <v>242</v>
      </c>
      <c r="E80" s="6" t="s">
        <v>279</v>
      </c>
      <c r="F80" s="6" t="s">
        <v>340</v>
      </c>
      <c r="G80" s="6" t="s">
        <v>581</v>
      </c>
      <c r="H80" s="6" t="s">
        <v>510</v>
      </c>
      <c r="I80" s="6" t="s">
        <v>251</v>
      </c>
      <c r="J80" s="6" t="s">
        <v>24</v>
      </c>
      <c r="K80" s="6" t="s">
        <v>47</v>
      </c>
      <c r="L80" s="6" t="s">
        <v>582</v>
      </c>
      <c r="M80" s="6" t="s">
        <v>27</v>
      </c>
      <c r="N80" s="6" t="s">
        <v>28</v>
      </c>
      <c r="O80" s="6" t="s">
        <v>29</v>
      </c>
      <c r="P80" s="6" t="s">
        <v>30</v>
      </c>
      <c r="Q80" s="6" t="s">
        <v>623</v>
      </c>
      <c r="R80" s="6" t="s">
        <v>27</v>
      </c>
      <c r="S80" s="6" t="s">
        <v>62</v>
      </c>
      <c r="T80" s="6" t="s">
        <v>62</v>
      </c>
      <c r="U80" s="6" t="s">
        <v>624</v>
      </c>
      <c r="V80" s="2" t="s">
        <v>678</v>
      </c>
    </row>
    <row r="81" spans="1:22">
      <c r="A81" s="6" t="s">
        <v>583</v>
      </c>
      <c r="B81" s="6" t="s">
        <v>16</v>
      </c>
      <c r="C81" s="6" t="s">
        <v>180</v>
      </c>
      <c r="D81" s="6" t="s">
        <v>181</v>
      </c>
      <c r="E81" s="6" t="s">
        <v>280</v>
      </c>
      <c r="F81" s="6" t="s">
        <v>326</v>
      </c>
      <c r="G81" s="6" t="s">
        <v>584</v>
      </c>
      <c r="H81" s="6" t="s">
        <v>364</v>
      </c>
      <c r="I81" s="6" t="s">
        <v>136</v>
      </c>
      <c r="J81" s="6" t="s">
        <v>24</v>
      </c>
      <c r="K81" s="6" t="s">
        <v>90</v>
      </c>
      <c r="L81" s="6" t="s">
        <v>585</v>
      </c>
      <c r="M81" s="6" t="s">
        <v>27</v>
      </c>
      <c r="N81" s="6" t="s">
        <v>41</v>
      </c>
      <c r="O81" s="6" t="s">
        <v>73</v>
      </c>
      <c r="P81" s="6" t="s">
        <v>74</v>
      </c>
      <c r="Q81" s="6" t="s">
        <v>623</v>
      </c>
      <c r="R81" s="6" t="s">
        <v>27</v>
      </c>
      <c r="S81" s="6" t="s">
        <v>62</v>
      </c>
      <c r="T81" s="6" t="s">
        <v>62</v>
      </c>
      <c r="U81" s="6" t="s">
        <v>624</v>
      </c>
      <c r="V81" s="2" t="s">
        <v>678</v>
      </c>
    </row>
    <row r="82" spans="1:22">
      <c r="A82" s="6" t="s">
        <v>586</v>
      </c>
      <c r="B82" s="6" t="s">
        <v>16</v>
      </c>
      <c r="C82" s="6" t="s">
        <v>185</v>
      </c>
      <c r="D82" s="6" t="s">
        <v>314</v>
      </c>
      <c r="E82" s="6" t="s">
        <v>281</v>
      </c>
      <c r="F82" s="6" t="s">
        <v>327</v>
      </c>
      <c r="G82" s="6" t="s">
        <v>587</v>
      </c>
      <c r="H82" s="6" t="s">
        <v>368</v>
      </c>
      <c r="I82" s="6" t="s">
        <v>306</v>
      </c>
      <c r="J82" s="6" t="s">
        <v>24</v>
      </c>
      <c r="K82" s="6" t="s">
        <v>25</v>
      </c>
      <c r="L82" s="6" t="s">
        <v>72</v>
      </c>
      <c r="M82" s="6" t="s">
        <v>62</v>
      </c>
      <c r="N82" s="6"/>
      <c r="O82" s="6"/>
      <c r="P82" s="6"/>
      <c r="Q82" s="6" t="s">
        <v>623</v>
      </c>
      <c r="R82" s="6" t="s">
        <v>27</v>
      </c>
      <c r="S82" s="6" t="s">
        <v>62</v>
      </c>
      <c r="T82" s="6" t="s">
        <v>62</v>
      </c>
      <c r="U82" s="6" t="s">
        <v>624</v>
      </c>
      <c r="V82" s="2" t="s">
        <v>678</v>
      </c>
    </row>
    <row r="83" spans="1:22">
      <c r="A83" s="6" t="s">
        <v>588</v>
      </c>
      <c r="B83" s="6" t="s">
        <v>16</v>
      </c>
      <c r="C83" s="6" t="s">
        <v>17</v>
      </c>
      <c r="D83" s="6" t="s">
        <v>18</v>
      </c>
      <c r="E83" s="6" t="s">
        <v>19</v>
      </c>
      <c r="F83" s="6" t="s">
        <v>49</v>
      </c>
      <c r="G83" s="6" t="s">
        <v>21</v>
      </c>
      <c r="H83" s="6" t="s">
        <v>22</v>
      </c>
      <c r="I83" s="6" t="s">
        <v>23</v>
      </c>
      <c r="J83" s="6" t="s">
        <v>24</v>
      </c>
      <c r="K83" s="6" t="s">
        <v>50</v>
      </c>
      <c r="L83" s="6" t="s">
        <v>51</v>
      </c>
      <c r="M83" s="6" t="s">
        <v>27</v>
      </c>
      <c r="N83" s="6" t="s">
        <v>28</v>
      </c>
      <c r="O83" s="6" t="s">
        <v>42</v>
      </c>
      <c r="P83" s="6" t="s">
        <v>43</v>
      </c>
      <c r="Q83" s="6" t="s">
        <v>623</v>
      </c>
      <c r="R83" s="6" t="s">
        <v>27</v>
      </c>
      <c r="S83" s="6" t="s">
        <v>27</v>
      </c>
      <c r="T83" s="6" t="s">
        <v>621</v>
      </c>
      <c r="U83" s="6" t="s">
        <v>625</v>
      </c>
      <c r="V83" s="2" t="s">
        <v>627</v>
      </c>
    </row>
    <row r="84" spans="1:22">
      <c r="A84" s="6" t="s">
        <v>589</v>
      </c>
      <c r="B84" s="6" t="s">
        <v>16</v>
      </c>
      <c r="C84" s="6" t="s">
        <v>32</v>
      </c>
      <c r="D84" s="6" t="s">
        <v>33</v>
      </c>
      <c r="E84" s="6" t="s">
        <v>34</v>
      </c>
      <c r="F84" s="6" t="s">
        <v>52</v>
      </c>
      <c r="G84" s="6" t="s">
        <v>36</v>
      </c>
      <c r="H84" s="6" t="s">
        <v>37</v>
      </c>
      <c r="I84" s="6" t="s">
        <v>38</v>
      </c>
      <c r="J84" s="6" t="s">
        <v>24</v>
      </c>
      <c r="K84" s="6" t="s">
        <v>39</v>
      </c>
      <c r="L84" s="6" t="s">
        <v>53</v>
      </c>
      <c r="M84" s="6" t="s">
        <v>27</v>
      </c>
      <c r="N84" s="6" t="s">
        <v>41</v>
      </c>
      <c r="O84" s="6" t="s">
        <v>29</v>
      </c>
      <c r="P84" s="6" t="s">
        <v>30</v>
      </c>
      <c r="Q84" s="6" t="s">
        <v>623</v>
      </c>
      <c r="R84" s="6" t="s">
        <v>27</v>
      </c>
      <c r="S84" s="6" t="s">
        <v>62</v>
      </c>
      <c r="T84" s="6" t="s">
        <v>62</v>
      </c>
      <c r="U84" s="6" t="s">
        <v>624</v>
      </c>
      <c r="V84" s="2" t="s">
        <v>678</v>
      </c>
    </row>
    <row r="85" spans="1:22">
      <c r="A85" s="6" t="s">
        <v>590</v>
      </c>
      <c r="B85" s="6" t="s">
        <v>16</v>
      </c>
      <c r="C85" s="6" t="s">
        <v>54</v>
      </c>
      <c r="D85" s="6" t="s">
        <v>55</v>
      </c>
      <c r="E85" s="6" t="s">
        <v>56</v>
      </c>
      <c r="F85" s="6" t="s">
        <v>57</v>
      </c>
      <c r="G85" s="6" t="s">
        <v>58</v>
      </c>
      <c r="H85" s="6" t="s">
        <v>59</v>
      </c>
      <c r="I85" s="6" t="s">
        <v>60</v>
      </c>
      <c r="J85" s="6" t="s">
        <v>24</v>
      </c>
      <c r="K85" s="6" t="s">
        <v>25</v>
      </c>
      <c r="L85" s="6" t="s">
        <v>61</v>
      </c>
      <c r="M85" s="6" t="s">
        <v>62</v>
      </c>
      <c r="N85" s="6"/>
      <c r="O85" s="6"/>
      <c r="P85" s="6"/>
      <c r="Q85" s="6" t="s">
        <v>623</v>
      </c>
      <c r="R85" s="6" t="s">
        <v>27</v>
      </c>
      <c r="S85" s="6" t="s">
        <v>62</v>
      </c>
      <c r="T85" s="6" t="s">
        <v>62</v>
      </c>
      <c r="U85" s="6" t="s">
        <v>624</v>
      </c>
      <c r="V85" s="2" t="s">
        <v>678</v>
      </c>
    </row>
    <row r="86" spans="1:22">
      <c r="A86" s="6" t="s">
        <v>591</v>
      </c>
      <c r="B86" s="6" t="s">
        <v>16</v>
      </c>
      <c r="C86" s="6" t="s">
        <v>54</v>
      </c>
      <c r="D86" s="6" t="s">
        <v>55</v>
      </c>
      <c r="E86" s="6" t="s">
        <v>63</v>
      </c>
      <c r="F86" s="6" t="s">
        <v>64</v>
      </c>
      <c r="G86" s="6" t="s">
        <v>65</v>
      </c>
      <c r="H86" s="6" t="s">
        <v>59</v>
      </c>
      <c r="I86" s="6" t="s">
        <v>60</v>
      </c>
      <c r="J86" s="6" t="s">
        <v>24</v>
      </c>
      <c r="K86" s="6" t="s">
        <v>25</v>
      </c>
      <c r="L86" s="6" t="s">
        <v>66</v>
      </c>
      <c r="M86" s="6" t="s">
        <v>27</v>
      </c>
      <c r="N86" s="6" t="s">
        <v>28</v>
      </c>
      <c r="O86" s="6" t="s">
        <v>67</v>
      </c>
      <c r="P86" s="6" t="s">
        <v>68</v>
      </c>
      <c r="Q86" s="6" t="s">
        <v>623</v>
      </c>
      <c r="R86" s="6" t="s">
        <v>27</v>
      </c>
      <c r="S86" s="6" t="s">
        <v>62</v>
      </c>
      <c r="T86" s="6" t="s">
        <v>27</v>
      </c>
      <c r="U86" s="6" t="s">
        <v>625</v>
      </c>
      <c r="V86" s="2" t="s">
        <v>628</v>
      </c>
    </row>
    <row r="87" spans="1:22">
      <c r="A87" s="6" t="s">
        <v>592</v>
      </c>
      <c r="B87" s="6" t="s">
        <v>31</v>
      </c>
      <c r="C87" s="6" t="s">
        <v>137</v>
      </c>
      <c r="D87" s="6" t="s">
        <v>324</v>
      </c>
      <c r="E87" s="6" t="s">
        <v>282</v>
      </c>
      <c r="F87" s="6" t="s">
        <v>322</v>
      </c>
      <c r="G87" s="6" t="s">
        <v>406</v>
      </c>
      <c r="H87" s="6" t="s">
        <v>387</v>
      </c>
      <c r="I87" s="6" t="s">
        <v>311</v>
      </c>
      <c r="J87" s="6" t="s">
        <v>24</v>
      </c>
      <c r="K87" s="6" t="s">
        <v>47</v>
      </c>
      <c r="L87" s="6" t="s">
        <v>593</v>
      </c>
      <c r="M87" s="6" t="s">
        <v>27</v>
      </c>
      <c r="N87" s="6" t="s">
        <v>41</v>
      </c>
      <c r="O87" s="6" t="s">
        <v>42</v>
      </c>
      <c r="P87" s="6" t="s">
        <v>43</v>
      </c>
      <c r="Q87" s="6" t="s">
        <v>623</v>
      </c>
      <c r="R87" s="6" t="s">
        <v>621</v>
      </c>
      <c r="S87" s="6" t="s">
        <v>621</v>
      </c>
      <c r="T87" s="6" t="s">
        <v>621</v>
      </c>
      <c r="U87" s="6" t="s">
        <v>625</v>
      </c>
      <c r="V87" s="2" t="s">
        <v>679</v>
      </c>
    </row>
    <row r="88" spans="1:22">
      <c r="A88" s="6" t="s">
        <v>594</v>
      </c>
      <c r="B88" s="6" t="s">
        <v>16</v>
      </c>
      <c r="C88" s="6" t="s">
        <v>207</v>
      </c>
      <c r="D88" s="6" t="s">
        <v>208</v>
      </c>
      <c r="E88" s="6" t="s">
        <v>283</v>
      </c>
      <c r="F88" s="6" t="s">
        <v>331</v>
      </c>
      <c r="G88" s="6" t="s">
        <v>595</v>
      </c>
      <c r="H88" s="6" t="s">
        <v>387</v>
      </c>
      <c r="I88" s="6" t="s">
        <v>311</v>
      </c>
      <c r="J88" s="6" t="s">
        <v>24</v>
      </c>
      <c r="K88" s="6" t="s">
        <v>50</v>
      </c>
      <c r="L88" s="6" t="s">
        <v>585</v>
      </c>
      <c r="M88" s="6" t="s">
        <v>62</v>
      </c>
      <c r="N88" s="6"/>
      <c r="O88" s="6"/>
      <c r="P88" s="6"/>
      <c r="Q88" s="6" t="s">
        <v>623</v>
      </c>
      <c r="R88" s="6" t="s">
        <v>27</v>
      </c>
      <c r="S88" s="6" t="s">
        <v>62</v>
      </c>
      <c r="T88" s="6" t="s">
        <v>62</v>
      </c>
      <c r="U88" s="6" t="s">
        <v>624</v>
      </c>
      <c r="V88" s="2" t="s">
        <v>678</v>
      </c>
    </row>
    <row r="89" spans="1:22">
      <c r="A89" s="6" t="s">
        <v>596</v>
      </c>
      <c r="B89" s="6" t="s">
        <v>16</v>
      </c>
      <c r="C89" s="6" t="s">
        <v>54</v>
      </c>
      <c r="D89" s="6" t="s">
        <v>55</v>
      </c>
      <c r="E89" s="6" t="s">
        <v>69</v>
      </c>
      <c r="F89" s="6" t="s">
        <v>70</v>
      </c>
      <c r="G89" s="6" t="s">
        <v>71</v>
      </c>
      <c r="H89" s="6" t="s">
        <v>59</v>
      </c>
      <c r="I89" s="6" t="s">
        <v>60</v>
      </c>
      <c r="J89" s="6" t="s">
        <v>24</v>
      </c>
      <c r="K89" s="6" t="s">
        <v>50</v>
      </c>
      <c r="L89" s="6" t="s">
        <v>72</v>
      </c>
      <c r="M89" s="6" t="s">
        <v>27</v>
      </c>
      <c r="N89" s="6" t="s">
        <v>28</v>
      </c>
      <c r="O89" s="6" t="s">
        <v>73</v>
      </c>
      <c r="P89" s="6" t="s">
        <v>74</v>
      </c>
      <c r="Q89" s="6" t="s">
        <v>623</v>
      </c>
      <c r="R89" s="6" t="s">
        <v>27</v>
      </c>
      <c r="S89" s="6" t="s">
        <v>62</v>
      </c>
      <c r="T89" s="6" t="s">
        <v>27</v>
      </c>
      <c r="U89" s="6" t="s">
        <v>625</v>
      </c>
      <c r="V89" s="2" t="s">
        <v>628</v>
      </c>
    </row>
    <row r="90" spans="1:22">
      <c r="A90" s="6" t="s">
        <v>597</v>
      </c>
      <c r="B90" s="6" t="s">
        <v>16</v>
      </c>
      <c r="C90" s="6" t="s">
        <v>137</v>
      </c>
      <c r="D90" s="6" t="s">
        <v>324</v>
      </c>
      <c r="E90" s="6" t="s">
        <v>282</v>
      </c>
      <c r="F90" s="6" t="s">
        <v>284</v>
      </c>
      <c r="G90" s="6" t="s">
        <v>406</v>
      </c>
      <c r="H90" s="6" t="s">
        <v>387</v>
      </c>
      <c r="I90" s="6" t="s">
        <v>311</v>
      </c>
      <c r="J90" s="6" t="s">
        <v>24</v>
      </c>
      <c r="K90" s="6" t="s">
        <v>47</v>
      </c>
      <c r="L90" s="6" t="s">
        <v>51</v>
      </c>
      <c r="M90" s="6" t="s">
        <v>27</v>
      </c>
      <c r="N90" s="6" t="s">
        <v>41</v>
      </c>
      <c r="O90" s="6" t="s">
        <v>67</v>
      </c>
      <c r="P90" s="6" t="s">
        <v>68</v>
      </c>
      <c r="Q90" s="6" t="s">
        <v>623</v>
      </c>
      <c r="R90" s="6" t="s">
        <v>27</v>
      </c>
      <c r="S90" s="6" t="s">
        <v>62</v>
      </c>
      <c r="T90" s="6" t="s">
        <v>62</v>
      </c>
      <c r="U90" s="6" t="s">
        <v>624</v>
      </c>
      <c r="V90" s="2" t="s">
        <v>678</v>
      </c>
    </row>
    <row r="91" spans="1:22">
      <c r="A91" s="6" t="s">
        <v>598</v>
      </c>
      <c r="B91" s="6" t="s">
        <v>16</v>
      </c>
      <c r="C91" s="6" t="s">
        <v>17</v>
      </c>
      <c r="D91" s="6" t="s">
        <v>18</v>
      </c>
      <c r="E91" s="6" t="s">
        <v>285</v>
      </c>
      <c r="F91" s="6" t="s">
        <v>334</v>
      </c>
      <c r="G91" s="6" t="s">
        <v>599</v>
      </c>
      <c r="H91" s="6" t="s">
        <v>398</v>
      </c>
      <c r="I91" s="6" t="s">
        <v>178</v>
      </c>
      <c r="J91" s="6" t="s">
        <v>24</v>
      </c>
      <c r="K91" s="6" t="s">
        <v>90</v>
      </c>
      <c r="L91" s="6" t="s">
        <v>53</v>
      </c>
      <c r="M91" s="6" t="s">
        <v>62</v>
      </c>
      <c r="N91" s="6"/>
      <c r="O91" s="6"/>
      <c r="P91" s="6"/>
      <c r="Q91" s="6" t="s">
        <v>623</v>
      </c>
      <c r="R91" s="6" t="s">
        <v>27</v>
      </c>
      <c r="S91" s="6" t="s">
        <v>62</v>
      </c>
      <c r="T91" s="6" t="s">
        <v>62</v>
      </c>
      <c r="U91" s="6" t="s">
        <v>624</v>
      </c>
      <c r="V91" s="2" t="s">
        <v>678</v>
      </c>
    </row>
    <row r="92" spans="1:22">
      <c r="A92" s="6" t="s">
        <v>600</v>
      </c>
      <c r="B92" s="6" t="s">
        <v>31</v>
      </c>
      <c r="C92" s="6" t="s">
        <v>83</v>
      </c>
      <c r="D92" s="6" t="s">
        <v>105</v>
      </c>
      <c r="E92" s="6" t="s">
        <v>286</v>
      </c>
      <c r="F92" s="6" t="s">
        <v>338</v>
      </c>
      <c r="G92" s="6" t="s">
        <v>601</v>
      </c>
      <c r="H92" s="6" t="s">
        <v>473</v>
      </c>
      <c r="I92" s="6" t="s">
        <v>234</v>
      </c>
      <c r="J92" s="6" t="s">
        <v>24</v>
      </c>
      <c r="K92" s="6" t="s">
        <v>25</v>
      </c>
      <c r="L92" s="6" t="s">
        <v>61</v>
      </c>
      <c r="M92" s="6" t="s">
        <v>27</v>
      </c>
      <c r="N92" s="6" t="s">
        <v>28</v>
      </c>
      <c r="O92" s="6" t="s">
        <v>29</v>
      </c>
      <c r="P92" s="6" t="s">
        <v>30</v>
      </c>
      <c r="Q92" s="6" t="s">
        <v>623</v>
      </c>
      <c r="R92" s="6" t="s">
        <v>621</v>
      </c>
      <c r="S92" s="6" t="s">
        <v>621</v>
      </c>
      <c r="T92" s="6" t="s">
        <v>621</v>
      </c>
      <c r="U92" s="6" t="s">
        <v>625</v>
      </c>
      <c r="V92" s="2" t="s">
        <v>679</v>
      </c>
    </row>
    <row r="93" spans="1:22">
      <c r="A93" s="6" t="s">
        <v>602</v>
      </c>
      <c r="B93" s="6" t="s">
        <v>16</v>
      </c>
      <c r="C93" s="6" t="s">
        <v>75</v>
      </c>
      <c r="D93" s="6" t="s">
        <v>76</v>
      </c>
      <c r="E93" s="6" t="s">
        <v>77</v>
      </c>
      <c r="F93" s="6" t="s">
        <v>78</v>
      </c>
      <c r="G93" s="6" t="s">
        <v>79</v>
      </c>
      <c r="H93" s="6" t="s">
        <v>80</v>
      </c>
      <c r="I93" s="6" t="s">
        <v>81</v>
      </c>
      <c r="J93" s="6" t="s">
        <v>82</v>
      </c>
      <c r="K93" s="6" t="s">
        <v>25</v>
      </c>
      <c r="L93" s="6" t="s">
        <v>66</v>
      </c>
      <c r="M93" s="6" t="s">
        <v>27</v>
      </c>
      <c r="N93" s="6" t="s">
        <v>41</v>
      </c>
      <c r="O93" s="6" t="s">
        <v>73</v>
      </c>
      <c r="P93" s="6" t="s">
        <v>74</v>
      </c>
      <c r="Q93" s="6" t="s">
        <v>623</v>
      </c>
      <c r="R93" s="6" t="s">
        <v>62</v>
      </c>
      <c r="S93" s="6" t="s">
        <v>621</v>
      </c>
      <c r="T93" s="6" t="s">
        <v>621</v>
      </c>
      <c r="U93" s="6" t="s">
        <v>625</v>
      </c>
      <c r="V93" s="2" t="s">
        <v>626</v>
      </c>
    </row>
    <row r="94" spans="1:22">
      <c r="A94" s="6" t="s">
        <v>603</v>
      </c>
      <c r="B94" s="6" t="s">
        <v>16</v>
      </c>
      <c r="C94" s="6" t="s">
        <v>17</v>
      </c>
      <c r="D94" s="6" t="s">
        <v>18</v>
      </c>
      <c r="E94" s="6" t="s">
        <v>288</v>
      </c>
      <c r="F94" s="6" t="s">
        <v>334</v>
      </c>
      <c r="G94" s="6" t="s">
        <v>362</v>
      </c>
      <c r="H94" s="6" t="s">
        <v>37</v>
      </c>
      <c r="I94" s="6" t="s">
        <v>38</v>
      </c>
      <c r="J94" s="6" t="s">
        <v>24</v>
      </c>
      <c r="K94" s="6" t="s">
        <v>39</v>
      </c>
      <c r="L94" s="6" t="s">
        <v>593</v>
      </c>
      <c r="M94" s="6" t="s">
        <v>62</v>
      </c>
      <c r="N94" s="6"/>
      <c r="O94" s="6"/>
      <c r="P94" s="6"/>
      <c r="Q94" s="6" t="s">
        <v>623</v>
      </c>
      <c r="R94" s="6" t="s">
        <v>27</v>
      </c>
      <c r="S94" s="6" t="s">
        <v>62</v>
      </c>
      <c r="T94" s="6" t="s">
        <v>62</v>
      </c>
      <c r="U94" s="6" t="s">
        <v>624</v>
      </c>
      <c r="V94" s="2" t="s">
        <v>678</v>
      </c>
    </row>
    <row r="95" spans="1:22">
      <c r="A95" s="6" t="s">
        <v>604</v>
      </c>
      <c r="B95" s="6" t="s">
        <v>16</v>
      </c>
      <c r="C95" s="6" t="s">
        <v>207</v>
      </c>
      <c r="D95" s="6" t="s">
        <v>305</v>
      </c>
      <c r="E95" s="6" t="s">
        <v>289</v>
      </c>
      <c r="F95" s="6" t="s">
        <v>290</v>
      </c>
      <c r="G95" s="6" t="s">
        <v>374</v>
      </c>
      <c r="H95" s="6" t="s">
        <v>605</v>
      </c>
      <c r="I95" s="6" t="s">
        <v>321</v>
      </c>
      <c r="J95" s="6" t="s">
        <v>292</v>
      </c>
      <c r="K95" s="6" t="s">
        <v>50</v>
      </c>
      <c r="L95" s="6" t="s">
        <v>585</v>
      </c>
      <c r="M95" s="6" t="s">
        <v>27</v>
      </c>
      <c r="N95" s="6" t="s">
        <v>28</v>
      </c>
      <c r="O95" s="6" t="s">
        <v>42</v>
      </c>
      <c r="P95" s="6" t="s">
        <v>43</v>
      </c>
      <c r="Q95" s="6" t="s">
        <v>623</v>
      </c>
      <c r="R95" s="6" t="s">
        <v>62</v>
      </c>
      <c r="S95" s="6" t="s">
        <v>621</v>
      </c>
      <c r="T95" s="6" t="s">
        <v>621</v>
      </c>
      <c r="U95" s="6" t="s">
        <v>625</v>
      </c>
      <c r="V95" s="2" t="s">
        <v>626</v>
      </c>
    </row>
    <row r="96" spans="1:22">
      <c r="A96" s="6" t="s">
        <v>606</v>
      </c>
      <c r="B96" s="6" t="s">
        <v>16</v>
      </c>
      <c r="C96" s="6" t="s">
        <v>109</v>
      </c>
      <c r="D96" s="6" t="s">
        <v>175</v>
      </c>
      <c r="E96" s="6" t="s">
        <v>293</v>
      </c>
      <c r="F96" s="6" t="s">
        <v>330</v>
      </c>
      <c r="G96" s="6" t="s">
        <v>393</v>
      </c>
      <c r="H96" s="6" t="s">
        <v>510</v>
      </c>
      <c r="I96" s="6" t="s">
        <v>251</v>
      </c>
      <c r="J96" s="6" t="s">
        <v>24</v>
      </c>
      <c r="K96" s="6" t="s">
        <v>39</v>
      </c>
      <c r="L96" s="6" t="s">
        <v>72</v>
      </c>
      <c r="M96" s="6" t="s">
        <v>27</v>
      </c>
      <c r="N96" s="6" t="s">
        <v>41</v>
      </c>
      <c r="O96" s="6" t="s">
        <v>29</v>
      </c>
      <c r="P96" s="6" t="s">
        <v>30</v>
      </c>
      <c r="Q96" s="6" t="s">
        <v>623</v>
      </c>
      <c r="R96" s="6" t="s">
        <v>27</v>
      </c>
      <c r="S96" s="6" t="s">
        <v>62</v>
      </c>
      <c r="T96" s="6" t="s">
        <v>62</v>
      </c>
      <c r="U96" s="6" t="s">
        <v>624</v>
      </c>
      <c r="V96" s="2" t="s">
        <v>678</v>
      </c>
    </row>
    <row r="97" spans="1:22">
      <c r="A97" s="6" t="s">
        <v>607</v>
      </c>
      <c r="B97" s="6" t="s">
        <v>16</v>
      </c>
      <c r="C97" s="6" t="s">
        <v>125</v>
      </c>
      <c r="D97" s="6" t="s">
        <v>310</v>
      </c>
      <c r="E97" s="6" t="s">
        <v>294</v>
      </c>
      <c r="F97" s="6" t="s">
        <v>295</v>
      </c>
      <c r="G97" s="6" t="s">
        <v>362</v>
      </c>
      <c r="H97" s="6" t="s">
        <v>608</v>
      </c>
      <c r="I97" s="6" t="s">
        <v>296</v>
      </c>
      <c r="J97" s="6" t="s">
        <v>297</v>
      </c>
      <c r="K97" s="6" t="s">
        <v>47</v>
      </c>
      <c r="L97" s="6" t="s">
        <v>51</v>
      </c>
      <c r="M97" s="6" t="s">
        <v>62</v>
      </c>
      <c r="N97" s="6"/>
      <c r="O97" s="6"/>
      <c r="P97" s="6"/>
      <c r="Q97" s="6" t="s">
        <v>623</v>
      </c>
      <c r="R97" s="6" t="s">
        <v>62</v>
      </c>
      <c r="S97" s="6" t="s">
        <v>621</v>
      </c>
      <c r="T97" s="6" t="s">
        <v>621</v>
      </c>
      <c r="U97" s="6" t="s">
        <v>625</v>
      </c>
      <c r="V97" s="2" t="s">
        <v>626</v>
      </c>
    </row>
    <row r="98" spans="1:22">
      <c r="A98" s="6" t="s">
        <v>609</v>
      </c>
      <c r="B98" s="6" t="s">
        <v>16</v>
      </c>
      <c r="C98" s="6" t="s">
        <v>83</v>
      </c>
      <c r="D98" s="6" t="s">
        <v>84</v>
      </c>
      <c r="E98" s="6" t="s">
        <v>85</v>
      </c>
      <c r="F98" s="6" t="s">
        <v>86</v>
      </c>
      <c r="G98" s="6" t="s">
        <v>87</v>
      </c>
      <c r="H98" s="6" t="s">
        <v>88</v>
      </c>
      <c r="I98" s="6" t="s">
        <v>89</v>
      </c>
      <c r="J98" s="6" t="s">
        <v>24</v>
      </c>
      <c r="K98" s="6" t="s">
        <v>90</v>
      </c>
      <c r="L98" s="6" t="s">
        <v>53</v>
      </c>
      <c r="M98" s="6" t="s">
        <v>27</v>
      </c>
      <c r="N98" s="6" t="s">
        <v>28</v>
      </c>
      <c r="O98" s="6" t="s">
        <v>67</v>
      </c>
      <c r="P98" s="6" t="s">
        <v>68</v>
      </c>
      <c r="Q98" s="6" t="s">
        <v>623</v>
      </c>
      <c r="R98" s="6" t="s">
        <v>27</v>
      </c>
      <c r="S98" s="6" t="s">
        <v>27</v>
      </c>
      <c r="T98" s="6" t="s">
        <v>621</v>
      </c>
      <c r="U98" s="6" t="s">
        <v>625</v>
      </c>
      <c r="V98" s="2" t="s">
        <v>627</v>
      </c>
    </row>
    <row r="99" spans="1:22">
      <c r="A99" s="6" t="s">
        <v>610</v>
      </c>
      <c r="B99" s="6" t="s">
        <v>16</v>
      </c>
      <c r="C99" s="6" t="s">
        <v>132</v>
      </c>
      <c r="D99" s="6" t="s">
        <v>133</v>
      </c>
      <c r="E99" s="6" t="s">
        <v>298</v>
      </c>
      <c r="F99" s="6" t="s">
        <v>323</v>
      </c>
      <c r="G99" s="6" t="s">
        <v>611</v>
      </c>
      <c r="H99" s="6" t="s">
        <v>59</v>
      </c>
      <c r="I99" s="6" t="s">
        <v>60</v>
      </c>
      <c r="J99" s="6" t="s">
        <v>24</v>
      </c>
      <c r="K99" s="6" t="s">
        <v>39</v>
      </c>
      <c r="L99" s="6" t="s">
        <v>61</v>
      </c>
      <c r="M99" s="6" t="s">
        <v>27</v>
      </c>
      <c r="N99" s="6" t="s">
        <v>41</v>
      </c>
      <c r="O99" s="6" t="s">
        <v>42</v>
      </c>
      <c r="P99" s="6" t="s">
        <v>43</v>
      </c>
      <c r="Q99" s="6" t="s">
        <v>623</v>
      </c>
      <c r="R99" s="6" t="s">
        <v>27</v>
      </c>
      <c r="S99" s="6" t="s">
        <v>62</v>
      </c>
      <c r="T99" s="6" t="s">
        <v>62</v>
      </c>
      <c r="U99" s="6" t="s">
        <v>624</v>
      </c>
      <c r="V99" s="2" t="s">
        <v>678</v>
      </c>
    </row>
    <row r="100" spans="1:22">
      <c r="A100" s="6" t="s">
        <v>612</v>
      </c>
      <c r="B100" s="6" t="s">
        <v>16</v>
      </c>
      <c r="C100" s="6" t="s">
        <v>299</v>
      </c>
      <c r="D100" s="6" t="s">
        <v>210</v>
      </c>
      <c r="E100" s="6" t="s">
        <v>300</v>
      </c>
      <c r="F100" s="6" t="s">
        <v>334</v>
      </c>
      <c r="G100" s="6" t="s">
        <v>370</v>
      </c>
      <c r="H100" s="6" t="s">
        <v>360</v>
      </c>
      <c r="I100" s="6" t="s">
        <v>129</v>
      </c>
      <c r="J100" s="6" t="s">
        <v>24</v>
      </c>
      <c r="K100" s="6" t="s">
        <v>90</v>
      </c>
      <c r="L100" s="6" t="s">
        <v>66</v>
      </c>
      <c r="M100" s="6" t="s">
        <v>62</v>
      </c>
      <c r="N100" s="6"/>
      <c r="O100" s="6"/>
      <c r="P100" s="6"/>
      <c r="Q100" s="6" t="s">
        <v>623</v>
      </c>
      <c r="R100" s="6" t="s">
        <v>27</v>
      </c>
      <c r="S100" s="6" t="s">
        <v>62</v>
      </c>
      <c r="T100" s="6" t="s">
        <v>62</v>
      </c>
      <c r="U100" s="6" t="s">
        <v>624</v>
      </c>
      <c r="V100" s="2" t="s">
        <v>678</v>
      </c>
    </row>
    <row r="101" spans="1:22">
      <c r="A101" s="6" t="s">
        <v>613</v>
      </c>
      <c r="B101" s="6" t="s">
        <v>16</v>
      </c>
      <c r="C101" s="6" t="s">
        <v>198</v>
      </c>
      <c r="D101" s="6" t="s">
        <v>314</v>
      </c>
      <c r="E101" s="6" t="s">
        <v>301</v>
      </c>
      <c r="F101" s="6" t="s">
        <v>95</v>
      </c>
      <c r="G101" s="6" t="s">
        <v>425</v>
      </c>
      <c r="H101" s="6" t="s">
        <v>404</v>
      </c>
      <c r="I101" s="6" t="s">
        <v>313</v>
      </c>
      <c r="J101" s="6" t="s">
        <v>24</v>
      </c>
      <c r="K101" s="6" t="s">
        <v>25</v>
      </c>
      <c r="L101" s="6" t="s">
        <v>593</v>
      </c>
      <c r="M101" s="6" t="s">
        <v>27</v>
      </c>
      <c r="N101" s="6" t="s">
        <v>28</v>
      </c>
      <c r="O101" s="6" t="s">
        <v>73</v>
      </c>
      <c r="P101" s="6" t="s">
        <v>74</v>
      </c>
      <c r="Q101" s="6" t="s">
        <v>623</v>
      </c>
      <c r="R101" s="6" t="s">
        <v>27</v>
      </c>
      <c r="S101" s="6" t="s">
        <v>62</v>
      </c>
      <c r="T101" s="6" t="s">
        <v>62</v>
      </c>
      <c r="U101" s="6" t="s">
        <v>624</v>
      </c>
      <c r="V101" s="2" t="s">
        <v>678</v>
      </c>
    </row>
  </sheetData>
  <conditionalFormatting sqref="U2:U101">
    <cfRule type="expression" dxfId="59" priority="1">
      <formula>$U2="Eligible"</formula>
    </cfRule>
    <cfRule type="expression" dxfId="58" priority="2">
      <formula>$U2="Not Eligible"</formula>
    </cfRule>
    <cfRule type="expression" dxfId="57" priority="3">
      <formula>$U2="Historical Record"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7"/>
  <dimension ref="A1:X49"/>
  <sheetViews>
    <sheetView showGridLines="0" workbookViewId="0">
      <pane ySplit="5" topLeftCell="A6" activePane="bottomLeft" state="frozen"/>
      <selection pane="bottomLeft" activeCell="E46" sqref="E46"/>
    </sheetView>
  </sheetViews>
  <sheetFormatPr baseColWidth="10" defaultColWidth="8.6640625" defaultRowHeight="14"/>
  <cols>
    <col min="1" max="1" width="21.1640625" bestFit="1" customWidth="1"/>
    <col min="2" max="6" width="15" customWidth="1"/>
    <col min="7" max="7" width="4" customWidth="1"/>
    <col min="8" max="13" width="15" customWidth="1"/>
    <col min="14" max="14" width="4" customWidth="1"/>
    <col min="24" max="24" width="13" hidden="1" customWidth="1"/>
  </cols>
  <sheetData>
    <row r="1" spans="1:24" ht="28" customHeight="1">
      <c r="A1" s="85" t="s">
        <v>690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24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X2">
        <f>COUNTIF(OrdersSingleSourceOfTruth[BatchClassification],"Current")</f>
        <v>41</v>
      </c>
    </row>
    <row r="3" spans="1:24">
      <c r="X3">
        <f>COUNTIFS(OrdersSingleSourceOfTruth[BatchClassification],"Current",OrdersSingleSourceOfTruth[OrderValidationStatus],"Valid")</f>
        <v>37</v>
      </c>
    </row>
    <row r="4" spans="1:24" ht="19" customHeight="1">
      <c r="A4" s="87" t="s">
        <v>691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X4">
        <f>COUNTIFS(OrdersSingleSourceOfTruth[BatchClassification],"Current",OrdersSingleSourceOfTruth[EligibilityStatus],"Eligible")</f>
        <v>29</v>
      </c>
    </row>
    <row r="5" spans="1:24">
      <c r="X5">
        <f>X2-X4</f>
        <v>12</v>
      </c>
    </row>
    <row r="6" spans="1:24">
      <c r="A6" s="69" t="s">
        <v>97</v>
      </c>
      <c r="B6" s="70" t="str">
        <f>'Extract – Control Panel'!C14</f>
        <v>2026-W36</v>
      </c>
      <c r="C6" s="71"/>
      <c r="D6" s="69" t="s">
        <v>99</v>
      </c>
      <c r="E6" s="70">
        <f>'Extract – Control Panel'!F14</f>
        <v>60</v>
      </c>
    </row>
    <row r="8" spans="1:24">
      <c r="A8" s="169" t="str">
        <f>"NEW ORDERS"&amp;CHAR(10)&amp;TEXT($X$2,"0")</f>
        <v>NEW ORDERS
41</v>
      </c>
      <c r="B8" s="170"/>
      <c r="C8" s="171"/>
      <c r="D8" s="169" t="str">
        <f>"VALID SUBMISSIONS"&amp;CHAR(10)&amp;TEXT($X$3,"0")</f>
        <v>VALID SUBMISSIONS
37</v>
      </c>
      <c r="E8" s="170"/>
      <c r="F8" s="171"/>
      <c r="G8" s="177" t="str">
        <f>"ELIGIBLE FOR FULFILLMENT"&amp;CHAR(10)&amp;TEXT($X$4,"0")</f>
        <v>ELIGIBLE FOR FULFILLMENT
29</v>
      </c>
      <c r="H8" s="170"/>
      <c r="I8" s="171"/>
      <c r="J8" s="169" t="str">
        <f>"NOT ELIGIBLE"&amp;CHAR(10)&amp;TEXT($X$5,"0")</f>
        <v>NOT ELIGIBLE
12</v>
      </c>
      <c r="K8" s="170"/>
      <c r="L8" s="171"/>
    </row>
    <row r="9" spans="1:24">
      <c r="A9" s="172"/>
      <c r="B9" s="86"/>
      <c r="C9" s="173"/>
      <c r="D9" s="172"/>
      <c r="E9" s="86"/>
      <c r="F9" s="173"/>
      <c r="G9" s="172"/>
      <c r="H9" s="86"/>
      <c r="I9" s="173"/>
      <c r="J9" s="172"/>
      <c r="K9" s="86"/>
      <c r="L9" s="173"/>
    </row>
    <row r="10" spans="1:24">
      <c r="A10" s="172"/>
      <c r="B10" s="86"/>
      <c r="C10" s="173"/>
      <c r="D10" s="172"/>
      <c r="E10" s="86"/>
      <c r="F10" s="173"/>
      <c r="G10" s="172"/>
      <c r="H10" s="86"/>
      <c r="I10" s="173"/>
      <c r="J10" s="172"/>
      <c r="K10" s="86"/>
      <c r="L10" s="173"/>
    </row>
    <row r="11" spans="1:24">
      <c r="A11" s="174"/>
      <c r="B11" s="175"/>
      <c r="C11" s="176"/>
      <c r="D11" s="174"/>
      <c r="E11" s="175"/>
      <c r="F11" s="176"/>
      <c r="G11" s="174"/>
      <c r="H11" s="175"/>
      <c r="I11" s="176"/>
      <c r="J11" s="174"/>
      <c r="K11" s="175"/>
      <c r="L11" s="176"/>
    </row>
    <row r="13" spans="1:24" ht="19" customHeight="1">
      <c r="A13" s="87" t="s">
        <v>692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</row>
    <row r="14" spans="1:24">
      <c r="A14" s="72" t="s">
        <v>693</v>
      </c>
      <c r="B14" s="72" t="s">
        <v>694</v>
      </c>
      <c r="C14" s="72" t="s">
        <v>695</v>
      </c>
    </row>
    <row r="15" spans="1:24">
      <c r="A15" s="71" t="s">
        <v>678</v>
      </c>
      <c r="B15" s="71">
        <f>COUNTIFS(OrdersSingleSourceOfTruth[BatchClassification],"Current",OrdersSingleSourceOfTruth[EligibilityStatus],"Eligible")</f>
        <v>29</v>
      </c>
      <c r="C15" s="73">
        <f>IF($X$2=0,0,B15/$X$2)</f>
        <v>0.70731707317073167</v>
      </c>
    </row>
    <row r="16" spans="1:24">
      <c r="A16" s="71" t="s">
        <v>679</v>
      </c>
      <c r="B16" s="71">
        <f>COUNTIFS(OrdersSingleSourceOfTruth[BatchClassification],"Current",OrdersSingleSourceOfTruth[OrderValidationStatus],"Invalid")</f>
        <v>4</v>
      </c>
      <c r="C16" s="73">
        <f>IF($X$2=0,0,B16/$X$2)</f>
        <v>9.7560975609756101E-2</v>
      </c>
    </row>
    <row r="17" spans="1:14">
      <c r="A17" s="71" t="s">
        <v>626</v>
      </c>
      <c r="B17" s="71">
        <f>COUNTIFS(OrdersSingleSourceOfTruth[BatchClassification],"Current",OrdersSingleSourceOfTruth[CountryEligible],"No")</f>
        <v>3</v>
      </c>
      <c r="C17" s="73">
        <f>IF($X$2=0,0,B17/$X$2)</f>
        <v>7.3170731707317069E-2</v>
      </c>
    </row>
    <row r="18" spans="1:14">
      <c r="A18" s="71" t="s">
        <v>627</v>
      </c>
      <c r="B18" s="71">
        <f>COUNTIFS(OrdersSingleSourceOfTruth[BatchClassification],"Current",OrdersSingleSourceOfTruth[HistoricalDuplicate],"Yes")</f>
        <v>3</v>
      </c>
      <c r="C18" s="73">
        <f>IF($X$2=0,0,B18/$X$2)</f>
        <v>7.3170731707317069E-2</v>
      </c>
    </row>
    <row r="19" spans="1:14">
      <c r="A19" s="71" t="s">
        <v>628</v>
      </c>
      <c r="B19" s="71">
        <f>COUNTIFS(OrdersSingleSourceOfTruth[BatchClassification],"Current",OrdersSingleSourceOfTruth[CurrentBatchDuplicate],"Yes")</f>
        <v>2</v>
      </c>
      <c r="C19" s="73">
        <f>IF($X$2=0,0,B19/$X$2)</f>
        <v>4.878048780487805E-2</v>
      </c>
    </row>
    <row r="21" spans="1:14" ht="14.5">
      <c r="A21" s="74" t="s">
        <v>696</v>
      </c>
      <c r="B21" s="71"/>
      <c r="C21" s="71"/>
      <c r="D21" s="71"/>
      <c r="E21" s="71"/>
      <c r="F21" s="71"/>
    </row>
    <row r="22" spans="1:14">
      <c r="A22" s="70" t="s">
        <v>697</v>
      </c>
      <c r="B22" s="71">
        <f>X2</f>
        <v>41</v>
      </c>
      <c r="C22" s="70" t="s">
        <v>698</v>
      </c>
      <c r="D22" s="71">
        <f>X3+B16</f>
        <v>41</v>
      </c>
      <c r="E22" s="70" t="s">
        <v>699</v>
      </c>
      <c r="F22" s="75">
        <f>B22-D22</f>
        <v>0</v>
      </c>
    </row>
    <row r="23" spans="1:14">
      <c r="A23" s="70" t="s">
        <v>700</v>
      </c>
      <c r="B23" s="71">
        <f>X3</f>
        <v>37</v>
      </c>
      <c r="C23" s="70" t="s">
        <v>701</v>
      </c>
      <c r="D23" s="71">
        <f>B15+B17+B18+B19</f>
        <v>37</v>
      </c>
      <c r="E23" s="70" t="s">
        <v>699</v>
      </c>
      <c r="F23" s="75">
        <f>B23-D23</f>
        <v>0</v>
      </c>
    </row>
    <row r="24" spans="1:14">
      <c r="A24" s="82"/>
      <c r="B24" s="83"/>
      <c r="C24" s="82"/>
      <c r="D24" s="83"/>
      <c r="E24" s="82"/>
      <c r="F24" s="84"/>
    </row>
    <row r="25" spans="1:14">
      <c r="A25" s="82"/>
      <c r="B25" s="83"/>
      <c r="C25" s="82"/>
      <c r="D25" s="83"/>
      <c r="E25" s="82"/>
      <c r="F25" s="84"/>
    </row>
    <row r="26" spans="1:14">
      <c r="A26" s="82"/>
      <c r="B26" s="83"/>
      <c r="C26" s="82"/>
      <c r="D26" s="83"/>
      <c r="E26" s="82"/>
      <c r="F26" s="84"/>
    </row>
    <row r="27" spans="1:14">
      <c r="A27" s="82"/>
      <c r="B27" s="83"/>
      <c r="C27" s="82"/>
      <c r="D27" s="83"/>
      <c r="E27" s="82"/>
      <c r="F27" s="84"/>
    </row>
    <row r="28" spans="1:14">
      <c r="A28" s="82"/>
      <c r="B28" s="83"/>
      <c r="C28" s="82"/>
      <c r="D28" s="83"/>
      <c r="E28" s="82"/>
      <c r="F28" s="84"/>
    </row>
    <row r="31" spans="1:14" ht="19" customHeight="1">
      <c r="A31" s="87" t="s">
        <v>702</v>
      </c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</row>
    <row r="32" spans="1:14">
      <c r="A32" s="72" t="s">
        <v>703</v>
      </c>
      <c r="B32" s="72" t="s">
        <v>704</v>
      </c>
      <c r="C32" s="72" t="s">
        <v>705</v>
      </c>
    </row>
    <row r="33" spans="1:14">
      <c r="A33" s="71" t="s">
        <v>25</v>
      </c>
      <c r="B33" s="71">
        <f>COUNTIFS(OrdersSingleSourceOfTruth[BatchClassification],"Current",OrdersSingleSourceOfTruth[EligibilityStatus],"Eligible",OrdersSingleSourceOfTruth[SelectedProduct],A33)</f>
        <v>7</v>
      </c>
      <c r="C33" s="73">
        <f>IF($X$4=0,0,B33/$X$4)</f>
        <v>0.2413793103448276</v>
      </c>
    </row>
    <row r="34" spans="1:14">
      <c r="A34" s="71" t="s">
        <v>50</v>
      </c>
      <c r="B34" s="71">
        <f>COUNTIFS(OrdersSingleSourceOfTruth[BatchClassification],"Current",OrdersSingleSourceOfTruth[EligibilityStatus],"Eligible",OrdersSingleSourceOfTruth[SelectedProduct],A34)</f>
        <v>5</v>
      </c>
      <c r="C34" s="73">
        <f>IF($X$4=0,0,B34/$X$4)</f>
        <v>0.17241379310344829</v>
      </c>
    </row>
    <row r="35" spans="1:14">
      <c r="A35" s="71" t="s">
        <v>39</v>
      </c>
      <c r="B35" s="71">
        <f>COUNTIFS(OrdersSingleSourceOfTruth[BatchClassification],"Current",OrdersSingleSourceOfTruth[EligibilityStatus],"Eligible",OrdersSingleSourceOfTruth[SelectedProduct],A35)</f>
        <v>6</v>
      </c>
      <c r="C35" s="73">
        <f>IF($X$4=0,0,B35/$X$4)</f>
        <v>0.20689655172413793</v>
      </c>
    </row>
    <row r="36" spans="1:14">
      <c r="A36" s="71" t="s">
        <v>47</v>
      </c>
      <c r="B36" s="71">
        <f>COUNTIFS(OrdersSingleSourceOfTruth[BatchClassification],"Current",OrdersSingleSourceOfTruth[EligibilityStatus],"Eligible",OrdersSingleSourceOfTruth[SelectedProduct],A36)</f>
        <v>5</v>
      </c>
      <c r="C36" s="73">
        <f>IF($X$4=0,0,B36/$X$4)</f>
        <v>0.17241379310344829</v>
      </c>
    </row>
    <row r="37" spans="1:14">
      <c r="A37" s="71" t="s">
        <v>90</v>
      </c>
      <c r="B37" s="71">
        <f>COUNTIFS(OrdersSingleSourceOfTruth[BatchClassification],"Current",OrdersSingleSourceOfTruth[EligibilityStatus],"Eligible",OrdersSingleSourceOfTruth[SelectedProduct],A37)</f>
        <v>6</v>
      </c>
      <c r="C37" s="73">
        <f>IF($X$4=0,0,B37/$X$4)</f>
        <v>0.20689655172413793</v>
      </c>
    </row>
    <row r="39" spans="1:14">
      <c r="A39" s="70" t="s">
        <v>706</v>
      </c>
      <c r="B39" s="71">
        <f>SUM(B33:B37)</f>
        <v>29</v>
      </c>
      <c r="C39" s="70" t="s">
        <v>704</v>
      </c>
      <c r="D39" s="71">
        <f>X4</f>
        <v>29</v>
      </c>
      <c r="E39" s="70" t="s">
        <v>699</v>
      </c>
      <c r="F39" s="75">
        <f>B39-D39</f>
        <v>0</v>
      </c>
    </row>
    <row r="40" spans="1:14">
      <c r="A40" s="82"/>
      <c r="B40" s="83"/>
      <c r="C40" s="82"/>
      <c r="D40" s="83"/>
      <c r="E40" s="82"/>
      <c r="F40" s="84"/>
    </row>
    <row r="41" spans="1:14">
      <c r="A41" s="82"/>
      <c r="B41" s="83"/>
      <c r="C41" s="82"/>
      <c r="D41" s="83"/>
      <c r="E41" s="82"/>
      <c r="F41" s="84"/>
    </row>
    <row r="42" spans="1:14">
      <c r="A42" s="82"/>
      <c r="B42" s="83"/>
      <c r="C42" s="82"/>
      <c r="D42" s="83"/>
      <c r="E42" s="82"/>
      <c r="F42" s="84"/>
    </row>
    <row r="43" spans="1:14">
      <c r="A43" s="82"/>
      <c r="B43" s="83"/>
      <c r="C43" s="82"/>
      <c r="D43" s="83"/>
      <c r="E43" s="82"/>
      <c r="F43" s="84"/>
    </row>
    <row r="44" spans="1:14">
      <c r="A44" s="82"/>
      <c r="B44" s="83"/>
      <c r="C44" s="82"/>
      <c r="D44" s="83"/>
      <c r="E44" s="82"/>
      <c r="F44" s="84"/>
    </row>
    <row r="45" spans="1:14">
      <c r="A45" s="82"/>
      <c r="B45" s="83"/>
      <c r="C45" s="82"/>
      <c r="D45" s="83"/>
      <c r="E45" s="82"/>
      <c r="F45" s="84"/>
    </row>
    <row r="48" spans="1:14">
      <c r="A48" s="168" t="s">
        <v>707</v>
      </c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</row>
    <row r="49" spans="1:14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</row>
  </sheetData>
  <mergeCells count="9">
    <mergeCell ref="A1:N2"/>
    <mergeCell ref="A4:N4"/>
    <mergeCell ref="A31:N31"/>
    <mergeCell ref="A48:N49"/>
    <mergeCell ref="A8:C11"/>
    <mergeCell ref="D8:F11"/>
    <mergeCell ref="G8:I11"/>
    <mergeCell ref="A13:N13"/>
    <mergeCell ref="J8:L11"/>
  </mergeCells>
  <pageMargins left="0.75" right="0.75" top="1" bottom="1" header="0.5" footer="0.5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0"/>
  <dimension ref="A1:N24"/>
  <sheetViews>
    <sheetView showGridLines="0" tabSelected="1" workbookViewId="0">
      <selection activeCell="D10" sqref="D10"/>
    </sheetView>
  </sheetViews>
  <sheetFormatPr baseColWidth="10" defaultColWidth="8.6640625" defaultRowHeight="14"/>
  <cols>
    <col min="1" max="1" width="4" customWidth="1"/>
    <col min="2" max="2" width="20.9140625" bestFit="1" customWidth="1"/>
    <col min="3" max="3" width="22.33203125" bestFit="1" customWidth="1"/>
    <col min="4" max="4" width="19" customWidth="1"/>
    <col min="5" max="6" width="15" customWidth="1"/>
    <col min="7" max="7" width="4" customWidth="1"/>
    <col min="8" max="13" width="15" customWidth="1"/>
    <col min="14" max="14" width="4" customWidth="1"/>
  </cols>
  <sheetData>
    <row r="1" spans="1:14" ht="28" customHeight="1">
      <c r="A1" s="85" t="s">
        <v>715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14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4" spans="1:14" ht="19" customHeight="1">
      <c r="A4" s="87" t="s">
        <v>716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</row>
    <row r="6" spans="1:14">
      <c r="A6" s="89" t="s">
        <v>717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</row>
    <row r="7" spans="1:14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</row>
    <row r="9" spans="1:14">
      <c r="B9" s="72" t="s">
        <v>719</v>
      </c>
      <c r="C9" s="72" t="s">
        <v>720</v>
      </c>
      <c r="D9" s="72" t="s">
        <v>718</v>
      </c>
    </row>
    <row r="10" spans="1:14" ht="14" customHeight="1">
      <c r="B10" s="71" t="s">
        <v>722</v>
      </c>
      <c r="C10" s="71" t="s">
        <v>723</v>
      </c>
      <c r="D10" s="78" t="s">
        <v>721</v>
      </c>
    </row>
    <row r="11" spans="1:14">
      <c r="B11" s="71" t="s">
        <v>724</v>
      </c>
      <c r="C11" s="71" t="s">
        <v>725</v>
      </c>
      <c r="D11" s="78" t="s">
        <v>721</v>
      </c>
    </row>
    <row r="12" spans="1:14">
      <c r="B12" s="71" t="s">
        <v>726</v>
      </c>
      <c r="C12" s="71" t="s">
        <v>727</v>
      </c>
      <c r="D12" s="78" t="s">
        <v>721</v>
      </c>
    </row>
    <row r="13" spans="1:14">
      <c r="B13" s="71" t="s">
        <v>728</v>
      </c>
      <c r="C13" s="71" t="s">
        <v>729</v>
      </c>
      <c r="D13" s="78" t="s">
        <v>721</v>
      </c>
    </row>
    <row r="14" spans="1:14">
      <c r="B14" s="71" t="s">
        <v>730</v>
      </c>
      <c r="C14" s="71" t="s">
        <v>731</v>
      </c>
      <c r="D14" s="78" t="s">
        <v>721</v>
      </c>
    </row>
    <row r="15" spans="1:14">
      <c r="B15" s="71" t="s">
        <v>733</v>
      </c>
      <c r="C15" s="71" t="s">
        <v>734</v>
      </c>
      <c r="D15" s="78" t="s">
        <v>721</v>
      </c>
    </row>
    <row r="16" spans="1:14">
      <c r="B16" s="71" t="s">
        <v>735</v>
      </c>
      <c r="C16" s="71" t="s">
        <v>736</v>
      </c>
      <c r="D16" s="78" t="s">
        <v>721</v>
      </c>
    </row>
    <row r="18" spans="1:14">
      <c r="B18" s="79" t="s">
        <v>732</v>
      </c>
      <c r="C18" s="80" t="str">
        <f>"Fulfillment_"&amp;'Extract – Control Panel'!C14&amp;".xlsx"</f>
        <v>Fulfillment_2026-W36.xlsx</v>
      </c>
    </row>
    <row r="19" spans="1:14">
      <c r="B19" s="79"/>
      <c r="C19" s="80"/>
    </row>
    <row r="20" spans="1:14">
      <c r="B20" s="79"/>
      <c r="C20" s="80"/>
    </row>
    <row r="21" spans="1:14">
      <c r="B21" s="79"/>
      <c r="C21" s="80"/>
    </row>
    <row r="22" spans="1:14">
      <c r="A22" s="88" t="s">
        <v>737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</row>
    <row r="23" spans="1:14">
      <c r="A23" s="88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</row>
    <row r="24" spans="1:14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</row>
  </sheetData>
  <mergeCells count="4">
    <mergeCell ref="A1:N2"/>
    <mergeCell ref="A4:N4"/>
    <mergeCell ref="A22:N24"/>
    <mergeCell ref="A6:N7"/>
  </mergeCells>
  <dataValidations count="1">
    <dataValidation type="list" sqref="D10:D16" xr:uid="{00000000-0002-0000-0F00-000000000000}">
      <formula1>"☑,☐"</formula1>
    </dataValidation>
  </dataValidations>
  <pageMargins left="0.75" right="0.75" top="1" bottom="1" header="0.5" footer="0.5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1"/>
  <dimension ref="A1:N23"/>
  <sheetViews>
    <sheetView showGridLines="0" topLeftCell="A5" workbookViewId="0">
      <selection sqref="A1:N2"/>
    </sheetView>
  </sheetViews>
  <sheetFormatPr baseColWidth="10" defaultColWidth="8.6640625" defaultRowHeight="14"/>
  <cols>
    <col min="1" max="1" width="4" customWidth="1"/>
    <col min="2" max="6" width="15" customWidth="1"/>
    <col min="7" max="7" width="4" customWidth="1"/>
    <col min="8" max="13" width="15" customWidth="1"/>
    <col min="14" max="14" width="4" customWidth="1"/>
  </cols>
  <sheetData>
    <row r="1" spans="1:14" ht="28" customHeight="1">
      <c r="A1" s="85" t="s">
        <v>738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14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4" spans="1:14" ht="19" customHeight="1">
      <c r="A4" s="87" t="s">
        <v>739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</row>
    <row r="6" spans="1:14">
      <c r="A6" s="89" t="s">
        <v>740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</row>
    <row r="7" spans="1:14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</row>
    <row r="9" spans="1:14" ht="19" customHeight="1">
      <c r="A9" s="87" t="s">
        <v>741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</row>
    <row r="10" spans="1:14">
      <c r="A10" s="81" t="s">
        <v>742</v>
      </c>
      <c r="B10" s="81"/>
      <c r="C10" s="81"/>
      <c r="D10" s="81"/>
      <c r="E10" s="81" t="s">
        <v>743</v>
      </c>
      <c r="F10" s="81"/>
      <c r="G10" s="81"/>
      <c r="H10" s="81"/>
      <c r="I10" s="81" t="s">
        <v>744</v>
      </c>
      <c r="J10" s="81"/>
      <c r="K10" s="81"/>
      <c r="L10" s="81"/>
      <c r="M10" s="81"/>
      <c r="N10" s="81"/>
    </row>
    <row r="11" spans="1:14" ht="52" customHeight="1">
      <c r="A11" s="178" t="s">
        <v>745</v>
      </c>
      <c r="B11" s="179"/>
      <c r="C11" s="179"/>
      <c r="D11" s="180"/>
      <c r="E11" s="178" t="s">
        <v>746</v>
      </c>
      <c r="F11" s="179"/>
      <c r="G11" s="179"/>
      <c r="H11" s="180"/>
      <c r="I11" s="178" t="s">
        <v>747</v>
      </c>
      <c r="J11" s="179"/>
      <c r="K11" s="179"/>
      <c r="L11" s="179"/>
      <c r="M11" s="179"/>
      <c r="N11" s="180"/>
    </row>
    <row r="12" spans="1:14" ht="52" customHeight="1">
      <c r="A12" s="178" t="s">
        <v>748</v>
      </c>
      <c r="B12" s="179"/>
      <c r="C12" s="179"/>
      <c r="D12" s="180"/>
      <c r="E12" s="178" t="s">
        <v>749</v>
      </c>
      <c r="F12" s="179"/>
      <c r="G12" s="179"/>
      <c r="H12" s="180"/>
      <c r="I12" s="178" t="s">
        <v>750</v>
      </c>
      <c r="J12" s="179"/>
      <c r="K12" s="179"/>
      <c r="L12" s="179"/>
      <c r="M12" s="179"/>
      <c r="N12" s="180"/>
    </row>
    <row r="13" spans="1:14" ht="52" customHeight="1">
      <c r="A13" s="178" t="s">
        <v>751</v>
      </c>
      <c r="B13" s="179"/>
      <c r="C13" s="179"/>
      <c r="D13" s="180"/>
      <c r="E13" s="178" t="s">
        <v>752</v>
      </c>
      <c r="F13" s="179"/>
      <c r="G13" s="179"/>
      <c r="H13" s="180"/>
      <c r="I13" s="178" t="s">
        <v>753</v>
      </c>
      <c r="J13" s="179"/>
      <c r="K13" s="179"/>
      <c r="L13" s="179"/>
      <c r="M13" s="179"/>
      <c r="N13" s="180"/>
    </row>
    <row r="14" spans="1:14" ht="52" customHeight="1">
      <c r="A14" s="178" t="s">
        <v>754</v>
      </c>
      <c r="B14" s="179"/>
      <c r="C14" s="179"/>
      <c r="D14" s="180"/>
      <c r="E14" s="178" t="s">
        <v>755</v>
      </c>
      <c r="F14" s="179"/>
      <c r="G14" s="179"/>
      <c r="H14" s="180"/>
      <c r="I14" s="178" t="s">
        <v>756</v>
      </c>
      <c r="J14" s="179"/>
      <c r="K14" s="179"/>
      <c r="L14" s="179"/>
      <c r="M14" s="179"/>
      <c r="N14" s="180"/>
    </row>
    <row r="15" spans="1:14" ht="52" customHeight="1">
      <c r="A15" s="178" t="s">
        <v>757</v>
      </c>
      <c r="B15" s="179"/>
      <c r="C15" s="179"/>
      <c r="D15" s="180"/>
      <c r="E15" s="178" t="s">
        <v>758</v>
      </c>
      <c r="F15" s="179"/>
      <c r="G15" s="179"/>
      <c r="H15" s="180"/>
      <c r="I15" s="178" t="s">
        <v>759</v>
      </c>
      <c r="J15" s="179"/>
      <c r="K15" s="179"/>
      <c r="L15" s="179"/>
      <c r="M15" s="179"/>
      <c r="N15" s="180"/>
    </row>
    <row r="18" spans="1:14" ht="19" customHeight="1">
      <c r="A18" s="87" t="s">
        <v>760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</row>
    <row r="19" spans="1:14" ht="28" customHeight="1">
      <c r="A19" s="89" t="s">
        <v>761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</row>
    <row r="20" spans="1:14" ht="28" customHeight="1">
      <c r="A20" s="89" t="s">
        <v>762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</row>
    <row r="21" spans="1:14" ht="28" customHeight="1">
      <c r="A21" s="89" t="s">
        <v>763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</row>
    <row r="22" spans="1:14" ht="28" customHeight="1">
      <c r="A22" s="89" t="s">
        <v>764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</row>
    <row r="23" spans="1:14" ht="28" customHeight="1">
      <c r="A23" s="89" t="s">
        <v>765</v>
      </c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</row>
  </sheetData>
  <mergeCells count="25">
    <mergeCell ref="A11:D11"/>
    <mergeCell ref="E14:H14"/>
    <mergeCell ref="A18:N18"/>
    <mergeCell ref="I13:N13"/>
    <mergeCell ref="A9:N9"/>
    <mergeCell ref="I12:N12"/>
    <mergeCell ref="A13:D13"/>
    <mergeCell ref="E12:H12"/>
    <mergeCell ref="I14:N14"/>
    <mergeCell ref="A21:N21"/>
    <mergeCell ref="A23:N23"/>
    <mergeCell ref="E13:H13"/>
    <mergeCell ref="I15:N15"/>
    <mergeCell ref="A1:N2"/>
    <mergeCell ref="I11:N11"/>
    <mergeCell ref="A22:N22"/>
    <mergeCell ref="A4:N4"/>
    <mergeCell ref="A12:D12"/>
    <mergeCell ref="A20:N20"/>
    <mergeCell ref="E15:H15"/>
    <mergeCell ref="A19:N19"/>
    <mergeCell ref="E11:H11"/>
    <mergeCell ref="A6:N7"/>
    <mergeCell ref="A14:D14"/>
    <mergeCell ref="A15:D15"/>
  </mergeCells>
  <pageMargins left="0.75" right="0.75" top="1" bottom="1" header="0.5" footer="0.5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V34"/>
  <sheetViews>
    <sheetView showGridLines="0" workbookViewId="0">
      <pane ySplit="5" topLeftCell="A6" activePane="bottomLeft" state="frozen"/>
      <selection pane="bottomLeft" activeCell="A6" sqref="A6"/>
    </sheetView>
  </sheetViews>
  <sheetFormatPr baseColWidth="10" defaultColWidth="8.6640625" defaultRowHeight="14"/>
  <cols>
    <col min="1" max="1" width="10" customWidth="1"/>
    <col min="2" max="2" width="17" customWidth="1"/>
    <col min="3" max="3" width="14" customWidth="1"/>
    <col min="4" max="4" width="16" customWidth="1"/>
    <col min="5" max="5" width="27" customWidth="1"/>
    <col min="6" max="6" width="20" customWidth="1"/>
    <col min="7" max="8" width="12" customWidth="1"/>
    <col min="9" max="9" width="16" customWidth="1"/>
    <col min="10" max="10" width="13" customWidth="1"/>
    <col min="11" max="11" width="15" customWidth="1"/>
    <col min="12" max="12" width="14" customWidth="1"/>
    <col min="13" max="13" width="16" customWidth="1"/>
    <col min="14" max="14" width="12" customWidth="1"/>
    <col min="15" max="15" width="16" customWidth="1"/>
    <col min="16" max="16" width="22" customWidth="1"/>
    <col min="17" max="17" width="17" customWidth="1"/>
    <col min="18" max="18" width="15" customWidth="1"/>
    <col min="19" max="19" width="18" customWidth="1"/>
    <col min="20" max="20" width="20" customWidth="1"/>
    <col min="21" max="21" width="16" customWidth="1"/>
    <col min="22" max="22" width="28" customWidth="1"/>
  </cols>
  <sheetData>
    <row r="1" spans="1:22" ht="28" customHeight="1">
      <c r="A1" s="85" t="s">
        <v>708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</row>
    <row r="2" spans="1:2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</row>
    <row r="4" spans="1:22">
      <c r="A4" s="181" t="s">
        <v>709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</row>
    <row r="5" spans="1:22">
      <c r="A5" s="76" t="s">
        <v>0</v>
      </c>
      <c r="B5" s="76" t="s">
        <v>1</v>
      </c>
      <c r="C5" s="76" t="s">
        <v>2</v>
      </c>
      <c r="D5" s="76" t="s">
        <v>3</v>
      </c>
      <c r="E5" s="76" t="s">
        <v>4</v>
      </c>
      <c r="F5" s="76" t="s">
        <v>5</v>
      </c>
      <c r="G5" s="76" t="s">
        <v>6</v>
      </c>
      <c r="H5" s="76" t="s">
        <v>7</v>
      </c>
      <c r="I5" s="76" t="s">
        <v>8</v>
      </c>
      <c r="J5" s="76" t="s">
        <v>9</v>
      </c>
      <c r="K5" s="76" t="s">
        <v>10</v>
      </c>
      <c r="L5" s="76" t="s">
        <v>11</v>
      </c>
      <c r="M5" s="76" t="s">
        <v>12</v>
      </c>
      <c r="N5" s="76" t="s">
        <v>13</v>
      </c>
      <c r="O5" s="76" t="s">
        <v>14</v>
      </c>
      <c r="P5" s="76" t="s">
        <v>15</v>
      </c>
      <c r="Q5" s="76" t="s">
        <v>616</v>
      </c>
      <c r="R5" s="76" t="s">
        <v>619</v>
      </c>
      <c r="S5" s="76" t="s">
        <v>617</v>
      </c>
      <c r="T5" s="76" t="s">
        <v>618</v>
      </c>
      <c r="U5" s="76" t="s">
        <v>676</v>
      </c>
      <c r="V5" s="76" t="s">
        <v>677</v>
      </c>
    </row>
    <row r="6" spans="1:22">
      <c r="A6" s="77" t="str" cm="1">
        <f t="array" ref="A6:V34">_xlfn._xlws.FILTER(OrdersSingleSourceOfTruth[#Data],OrdersSingleSourceOfTruth[EligibilityStatus]="Eligible","No eligible orders")</f>
        <v>60</v>
      </c>
      <c r="B6" t="str">
        <v>Valid</v>
      </c>
      <c r="C6" t="str">
        <v>Anna</v>
      </c>
      <c r="D6" t="str">
        <v>Müller</v>
      </c>
      <c r="E6" t="str">
        <v>anna.mueller60@example.com</v>
      </c>
      <c r="F6" t="str">
        <v>Sonnenstraße</v>
      </c>
      <c r="G6" t="str">
        <v>160</v>
      </c>
      <c r="H6" t="str">
        <v>28195</v>
      </c>
      <c r="I6" t="str">
        <v>Bremen</v>
      </c>
      <c r="J6" t="str">
        <v>Germany</v>
      </c>
      <c r="K6" t="str">
        <v>Product E</v>
      </c>
      <c r="L6" t="str">
        <v>2026-06-29</v>
      </c>
      <c r="M6" t="str">
        <v>No</v>
      </c>
      <c r="N6">
        <v>0</v>
      </c>
      <c r="O6">
        <v>0</v>
      </c>
      <c r="P6">
        <v>0</v>
      </c>
      <c r="Q6" t="str">
        <v>Current</v>
      </c>
      <c r="R6" t="str">
        <v>Yes</v>
      </c>
      <c r="S6" t="str">
        <v>No</v>
      </c>
      <c r="T6" t="str">
        <v>No</v>
      </c>
      <c r="U6" t="str">
        <v>Eligible</v>
      </c>
      <c r="V6" t="str">
        <v>Eligible for Fulfillment</v>
      </c>
    </row>
    <row r="7" spans="1:22">
      <c r="A7" t="str">
        <v>61</v>
      </c>
      <c r="B7" t="str">
        <v>Valid</v>
      </c>
      <c r="C7" t="str">
        <v>Thomas</v>
      </c>
      <c r="D7" t="str">
        <v>Wagner</v>
      </c>
      <c r="E7" t="str">
        <v>thomas.wagner61@example.com</v>
      </c>
      <c r="F7" t="str">
        <v>Feldstraße</v>
      </c>
      <c r="G7" t="str">
        <v>161</v>
      </c>
      <c r="H7" t="str">
        <v>50667</v>
      </c>
      <c r="I7" t="str">
        <v>Köln</v>
      </c>
      <c r="J7" t="str">
        <v>Germany</v>
      </c>
      <c r="K7" t="str">
        <v>Product A</v>
      </c>
      <c r="L7" t="str">
        <v>2026-06-30</v>
      </c>
      <c r="M7" t="str">
        <v>Yes</v>
      </c>
      <c r="N7" t="str">
        <v>35-44</v>
      </c>
      <c r="O7" t="str">
        <v>Prefer not to say</v>
      </c>
      <c r="P7" t="str">
        <v>Several times per week</v>
      </c>
      <c r="Q7" t="str">
        <v>Current</v>
      </c>
      <c r="R7" t="str">
        <v>Yes</v>
      </c>
      <c r="S7" t="str">
        <v>No</v>
      </c>
      <c r="T7" t="str">
        <v>No</v>
      </c>
      <c r="U7" t="str">
        <v>Eligible</v>
      </c>
      <c r="V7" t="str">
        <v>Eligible for Fulfillment</v>
      </c>
    </row>
    <row r="8" spans="1:22">
      <c r="A8" t="str">
        <v>62</v>
      </c>
      <c r="B8" t="str">
        <v>Valid</v>
      </c>
      <c r="C8" t="str">
        <v>Laura</v>
      </c>
      <c r="D8" t="str">
        <v>Fröhlich</v>
      </c>
      <c r="E8" t="str">
        <v>laura.froehlich62@example.com</v>
      </c>
      <c r="F8" t="str">
        <v>Grüner Weg</v>
      </c>
      <c r="G8" t="str">
        <v>162</v>
      </c>
      <c r="H8" t="str">
        <v>48143</v>
      </c>
      <c r="I8" t="str">
        <v>Münster</v>
      </c>
      <c r="J8" t="str">
        <v>Germany</v>
      </c>
      <c r="K8" t="str">
        <v>Product B</v>
      </c>
      <c r="L8" t="str">
        <v>2026-07-01</v>
      </c>
      <c r="M8" t="str">
        <v>Yes</v>
      </c>
      <c r="N8" t="str">
        <v>55-64</v>
      </c>
      <c r="O8" t="str">
        <v>Diverse</v>
      </c>
      <c r="P8" t="str">
        <v>Occasionally</v>
      </c>
      <c r="Q8" t="str">
        <v>Current</v>
      </c>
      <c r="R8" t="str">
        <v>Yes</v>
      </c>
      <c r="S8" t="str">
        <v>No</v>
      </c>
      <c r="T8" t="str">
        <v>No</v>
      </c>
      <c r="U8" t="str">
        <v>Eligible</v>
      </c>
      <c r="V8" t="str">
        <v>Eligible for Fulfillment</v>
      </c>
    </row>
    <row r="9" spans="1:22">
      <c r="A9" t="str">
        <v>64</v>
      </c>
      <c r="B9" t="str">
        <v>Valid</v>
      </c>
      <c r="C9" t="str">
        <v>Eva</v>
      </c>
      <c r="D9" t="str">
        <v>Schulz</v>
      </c>
      <c r="E9" t="str">
        <v>eva.schulz64@example.com</v>
      </c>
      <c r="F9" t="str">
        <v>Waldstraße</v>
      </c>
      <c r="G9" t="str">
        <v>164</v>
      </c>
      <c r="H9" t="str">
        <v>93047</v>
      </c>
      <c r="I9" t="str">
        <v>Regensburg</v>
      </c>
      <c r="J9" t="str">
        <v>Germany</v>
      </c>
      <c r="K9" t="str">
        <v>Product D</v>
      </c>
      <c r="L9" t="str">
        <v>2026-07-03</v>
      </c>
      <c r="M9" t="str">
        <v>Yes</v>
      </c>
      <c r="N9" t="str">
        <v>35-44</v>
      </c>
      <c r="O9" t="str">
        <v>Female</v>
      </c>
      <c r="P9" t="str">
        <v>Daily</v>
      </c>
      <c r="Q9" t="str">
        <v>Current</v>
      </c>
      <c r="R9" t="str">
        <v>Yes</v>
      </c>
      <c r="S9" t="str">
        <v>No</v>
      </c>
      <c r="T9" t="str">
        <v>No</v>
      </c>
      <c r="U9" t="str">
        <v>Eligible</v>
      </c>
      <c r="V9" t="str">
        <v>Eligible for Fulfillment</v>
      </c>
    </row>
    <row r="10" spans="1:22">
      <c r="A10" t="str">
        <v>66</v>
      </c>
      <c r="B10" t="str">
        <v>Valid</v>
      </c>
      <c r="C10" t="str">
        <v>Nina</v>
      </c>
      <c r="D10" t="str">
        <v>Schröder</v>
      </c>
      <c r="E10" t="str">
        <v>nina.schroeder66@example.com</v>
      </c>
      <c r="F10" t="str">
        <v>Parkstraße</v>
      </c>
      <c r="G10" t="str">
        <v>166</v>
      </c>
      <c r="H10" t="str">
        <v>14467</v>
      </c>
      <c r="I10" t="str">
        <v>Potsdam</v>
      </c>
      <c r="J10" t="str">
        <v>Germany</v>
      </c>
      <c r="K10" t="str">
        <v>Product A</v>
      </c>
      <c r="L10" t="str">
        <v>2026-07-05</v>
      </c>
      <c r="M10" t="str">
        <v>No</v>
      </c>
      <c r="N10">
        <v>0</v>
      </c>
      <c r="O10">
        <v>0</v>
      </c>
      <c r="P10">
        <v>0</v>
      </c>
      <c r="Q10" t="str">
        <v>Current</v>
      </c>
      <c r="R10" t="str">
        <v>Yes</v>
      </c>
      <c r="S10" t="str">
        <v>No</v>
      </c>
      <c r="T10" t="str">
        <v>No</v>
      </c>
      <c r="U10" t="str">
        <v>Eligible</v>
      </c>
      <c r="V10" t="str">
        <v>Eligible for Fulfillment</v>
      </c>
    </row>
    <row r="11" spans="1:22">
      <c r="A11" t="str">
        <v>67</v>
      </c>
      <c r="B11" t="str">
        <v>Valid</v>
      </c>
      <c r="C11" t="str">
        <v>Leon</v>
      </c>
      <c r="D11" t="str">
        <v>Brandt</v>
      </c>
      <c r="E11" t="str">
        <v>leon.brandt67@example.com</v>
      </c>
      <c r="F11" t="str">
        <v>Märkische Straße</v>
      </c>
      <c r="G11" t="str">
        <v>167</v>
      </c>
      <c r="H11" t="str">
        <v>04109</v>
      </c>
      <c r="I11" t="str">
        <v>Leipzig</v>
      </c>
      <c r="J11" t="str">
        <v>Germany</v>
      </c>
      <c r="K11" t="str">
        <v>Product B</v>
      </c>
      <c r="L11" t="str">
        <v>2026-07-06</v>
      </c>
      <c r="M11" t="str">
        <v>Yes</v>
      </c>
      <c r="N11" t="str">
        <v>35-44</v>
      </c>
      <c r="O11" t="str">
        <v>Male</v>
      </c>
      <c r="P11" t="str">
        <v>Rarely</v>
      </c>
      <c r="Q11" t="str">
        <v>Current</v>
      </c>
      <c r="R11" t="str">
        <v>Yes</v>
      </c>
      <c r="S11" t="str">
        <v>No</v>
      </c>
      <c r="T11" t="str">
        <v>No</v>
      </c>
      <c r="U11" t="str">
        <v>Eligible</v>
      </c>
      <c r="V11" t="str">
        <v>Eligible for Fulfillment</v>
      </c>
    </row>
    <row r="12" spans="1:22">
      <c r="A12" t="str">
        <v>68</v>
      </c>
      <c r="B12" t="str">
        <v>Valid</v>
      </c>
      <c r="C12" t="str">
        <v>Marlene</v>
      </c>
      <c r="D12" t="str">
        <v>Pohl</v>
      </c>
      <c r="E12" t="str">
        <v>marlene.pohl68@example.com</v>
      </c>
      <c r="F12" t="str">
        <v>Gartenstraße</v>
      </c>
      <c r="G12" t="str">
        <v>168</v>
      </c>
      <c r="H12" t="str">
        <v>37073</v>
      </c>
      <c r="I12" t="str">
        <v>Göttingen</v>
      </c>
      <c r="J12" t="str">
        <v>Germany</v>
      </c>
      <c r="K12" t="str">
        <v>Product C</v>
      </c>
      <c r="L12" t="str">
        <v>2026-07-07</v>
      </c>
      <c r="M12" t="str">
        <v>Yes</v>
      </c>
      <c r="N12" t="str">
        <v>55-64</v>
      </c>
      <c r="O12" t="str">
        <v>Female</v>
      </c>
      <c r="P12" t="str">
        <v>Daily</v>
      </c>
      <c r="Q12" t="str">
        <v>Current</v>
      </c>
      <c r="R12" t="str">
        <v>Yes</v>
      </c>
      <c r="S12" t="str">
        <v>No</v>
      </c>
      <c r="T12" t="str">
        <v>No</v>
      </c>
      <c r="U12" t="str">
        <v>Eligible</v>
      </c>
      <c r="V12" t="str">
        <v>Eligible for Fulfillment</v>
      </c>
    </row>
    <row r="13" spans="1:22">
      <c r="A13" t="str">
        <v>69</v>
      </c>
      <c r="B13" t="str">
        <v>Valid</v>
      </c>
      <c r="C13" t="str">
        <v>Mehmet</v>
      </c>
      <c r="D13" t="str">
        <v>Böhm</v>
      </c>
      <c r="E13" t="str">
        <v>mehmet.boehm69@example.com</v>
      </c>
      <c r="F13" t="str">
        <v>Mozartstraße</v>
      </c>
      <c r="G13" t="str">
        <v>169</v>
      </c>
      <c r="H13" t="str">
        <v>70173</v>
      </c>
      <c r="I13" t="str">
        <v>Stuttgart</v>
      </c>
      <c r="J13" t="str">
        <v>Germany</v>
      </c>
      <c r="K13" t="str">
        <v>Product D</v>
      </c>
      <c r="L13" t="str">
        <v>2026-07-08</v>
      </c>
      <c r="M13" t="str">
        <v>No</v>
      </c>
      <c r="N13">
        <v>0</v>
      </c>
      <c r="O13">
        <v>0</v>
      </c>
      <c r="P13">
        <v>0</v>
      </c>
      <c r="Q13" t="str">
        <v>Current</v>
      </c>
      <c r="R13" t="str">
        <v>Yes</v>
      </c>
      <c r="S13" t="str">
        <v>No</v>
      </c>
      <c r="T13" t="str">
        <v>No</v>
      </c>
      <c r="U13" t="str">
        <v>Eligible</v>
      </c>
      <c r="V13" t="str">
        <v>Eligible for Fulfillment</v>
      </c>
    </row>
    <row r="14" spans="1:22">
      <c r="A14" t="str">
        <v>70</v>
      </c>
      <c r="B14" t="str">
        <v>Valid</v>
      </c>
      <c r="C14" t="str">
        <v>Lea</v>
      </c>
      <c r="D14" t="str">
        <v>Schäfer</v>
      </c>
      <c r="E14" t="str">
        <v>lea.schaefer70@example.com</v>
      </c>
      <c r="F14" t="str">
        <v>Dorfstraße</v>
      </c>
      <c r="G14" t="str">
        <v>170</v>
      </c>
      <c r="H14" t="str">
        <v>90762</v>
      </c>
      <c r="I14" t="str">
        <v>Fürth</v>
      </c>
      <c r="J14" t="str">
        <v>Germany</v>
      </c>
      <c r="K14" t="str">
        <v>Product E</v>
      </c>
      <c r="L14" t="str">
        <v>2026-07-09</v>
      </c>
      <c r="M14" t="str">
        <v>Yes</v>
      </c>
      <c r="N14" t="str">
        <v>35-44</v>
      </c>
      <c r="O14" t="str">
        <v>Diverse</v>
      </c>
      <c r="P14" t="str">
        <v>Occasionally</v>
      </c>
      <c r="Q14" t="str">
        <v>Current</v>
      </c>
      <c r="R14" t="str">
        <v>Yes</v>
      </c>
      <c r="S14" t="str">
        <v>No</v>
      </c>
      <c r="T14" t="str">
        <v>No</v>
      </c>
      <c r="U14" t="str">
        <v>Eligible</v>
      </c>
      <c r="V14" t="str">
        <v>Eligible for Fulfillment</v>
      </c>
    </row>
    <row r="15" spans="1:22">
      <c r="A15" t="str">
        <v>71</v>
      </c>
      <c r="B15" t="str">
        <v>Valid</v>
      </c>
      <c r="C15" t="str">
        <v>Noah</v>
      </c>
      <c r="D15" t="str">
        <v>Weiß</v>
      </c>
      <c r="E15" t="str">
        <v>noah.weiss71@example.com</v>
      </c>
      <c r="F15" t="str">
        <v>Königsstraße</v>
      </c>
      <c r="G15" t="str">
        <v>171</v>
      </c>
      <c r="H15" t="str">
        <v>10115</v>
      </c>
      <c r="I15" t="str">
        <v>Berlin</v>
      </c>
      <c r="J15" t="str">
        <v>Germany</v>
      </c>
      <c r="K15" t="str">
        <v>Product A</v>
      </c>
      <c r="L15" t="str">
        <v>2026-07-10</v>
      </c>
      <c r="M15" t="str">
        <v>Yes</v>
      </c>
      <c r="N15" t="str">
        <v>55-64</v>
      </c>
      <c r="O15" t="str">
        <v>Male</v>
      </c>
      <c r="P15" t="str">
        <v>Rarely</v>
      </c>
      <c r="Q15" t="str">
        <v>Current</v>
      </c>
      <c r="R15" t="str">
        <v>Yes</v>
      </c>
      <c r="S15" t="str">
        <v>No</v>
      </c>
      <c r="T15" t="str">
        <v>No</v>
      </c>
      <c r="U15" t="str">
        <v>Eligible</v>
      </c>
      <c r="V15" t="str">
        <v>Eligible for Fulfillment</v>
      </c>
    </row>
    <row r="16" spans="1:22">
      <c r="A16" t="str">
        <v>72</v>
      </c>
      <c r="B16" t="str">
        <v>Valid</v>
      </c>
      <c r="C16" t="str">
        <v>Klara</v>
      </c>
      <c r="D16" t="str">
        <v>Becker</v>
      </c>
      <c r="E16" t="str">
        <v>klara.becker72@example.com</v>
      </c>
      <c r="F16" t="str">
        <v>Lindenstraße</v>
      </c>
      <c r="G16" t="str">
        <v>172</v>
      </c>
      <c r="H16" t="str">
        <v>80331</v>
      </c>
      <c r="I16" t="str">
        <v>München</v>
      </c>
      <c r="J16" t="str">
        <v>Germany</v>
      </c>
      <c r="K16" t="str">
        <v>Product B</v>
      </c>
      <c r="L16" t="str">
        <v>2026-07-11</v>
      </c>
      <c r="M16" t="str">
        <v>No</v>
      </c>
      <c r="N16">
        <v>0</v>
      </c>
      <c r="O16">
        <v>0</v>
      </c>
      <c r="P16">
        <v>0</v>
      </c>
      <c r="Q16" t="str">
        <v>Current</v>
      </c>
      <c r="R16" t="str">
        <v>Yes</v>
      </c>
      <c r="S16" t="str">
        <v>No</v>
      </c>
      <c r="T16" t="str">
        <v>No</v>
      </c>
      <c r="U16" t="str">
        <v>Eligible</v>
      </c>
      <c r="V16" t="str">
        <v>Eligible for Fulfillment</v>
      </c>
    </row>
    <row r="17" spans="1:22">
      <c r="A17" t="str">
        <v>73</v>
      </c>
      <c r="B17" t="str">
        <v>Valid</v>
      </c>
      <c r="C17" t="str">
        <v>Lukas</v>
      </c>
      <c r="D17" t="str">
        <v>Bär</v>
      </c>
      <c r="E17" t="str">
        <v>lukas.baer73@example.com</v>
      </c>
      <c r="F17" t="str">
        <v>Bergstraße</v>
      </c>
      <c r="G17" t="str">
        <v>173</v>
      </c>
      <c r="H17" t="str">
        <v>30159</v>
      </c>
      <c r="I17" t="str">
        <v>Hannover</v>
      </c>
      <c r="J17" t="str">
        <v>Germany</v>
      </c>
      <c r="K17" t="str">
        <v>Product C</v>
      </c>
      <c r="L17" t="str">
        <v>2026-07-12</v>
      </c>
      <c r="M17" t="str">
        <v>Yes</v>
      </c>
      <c r="N17" t="str">
        <v>35-44</v>
      </c>
      <c r="O17" t="str">
        <v>Prefer not to say</v>
      </c>
      <c r="P17" t="str">
        <v>Several times per week</v>
      </c>
      <c r="Q17" t="str">
        <v>Current</v>
      </c>
      <c r="R17" t="str">
        <v>Yes</v>
      </c>
      <c r="S17" t="str">
        <v>No</v>
      </c>
      <c r="T17" t="str">
        <v>No</v>
      </c>
      <c r="U17" t="str">
        <v>Eligible</v>
      </c>
      <c r="V17" t="str">
        <v>Eligible for Fulfillment</v>
      </c>
    </row>
    <row r="18" spans="1:22">
      <c r="A18" t="str">
        <v>74</v>
      </c>
      <c r="B18" t="str">
        <v>Valid</v>
      </c>
      <c r="C18" t="str">
        <v>Miriam</v>
      </c>
      <c r="D18" t="str">
        <v>Groß</v>
      </c>
      <c r="E18" t="str">
        <v>miriam.gross74@example.com</v>
      </c>
      <c r="F18" t="str">
        <v>Lessingstraße</v>
      </c>
      <c r="G18" t="str">
        <v>174</v>
      </c>
      <c r="H18" t="str">
        <v>40213</v>
      </c>
      <c r="I18" t="str">
        <v>Düsseldorf</v>
      </c>
      <c r="J18" t="str">
        <v>Germany</v>
      </c>
      <c r="K18" t="str">
        <v>Product D</v>
      </c>
      <c r="L18" t="str">
        <v>2026-07-13</v>
      </c>
      <c r="M18" t="str">
        <v>Yes</v>
      </c>
      <c r="N18" t="str">
        <v>55-64</v>
      </c>
      <c r="O18" t="str">
        <v>Diverse</v>
      </c>
      <c r="P18" t="str">
        <v>Occasionally</v>
      </c>
      <c r="Q18" t="str">
        <v>Current</v>
      </c>
      <c r="R18" t="str">
        <v>Yes</v>
      </c>
      <c r="S18" t="str">
        <v>No</v>
      </c>
      <c r="T18" t="str">
        <v>No</v>
      </c>
      <c r="U18" t="str">
        <v>Eligible</v>
      </c>
      <c r="V18" t="str">
        <v>Eligible for Fulfillment</v>
      </c>
    </row>
    <row r="19" spans="1:22">
      <c r="A19" t="str">
        <v>75</v>
      </c>
      <c r="B19" t="str">
        <v>Valid</v>
      </c>
      <c r="C19" t="str">
        <v>Emil</v>
      </c>
      <c r="D19" t="str">
        <v>Krämer</v>
      </c>
      <c r="E19" t="str">
        <v>emil.kraemer75@example.com</v>
      </c>
      <c r="F19" t="str">
        <v>Seestraße</v>
      </c>
      <c r="G19" t="str">
        <v>175</v>
      </c>
      <c r="H19" t="str">
        <v>79098</v>
      </c>
      <c r="I19" t="str">
        <v>Freiburg</v>
      </c>
      <c r="J19" t="str">
        <v>Germany</v>
      </c>
      <c r="K19" t="str">
        <v>Product E</v>
      </c>
      <c r="L19" t="str">
        <v>2026-07-14</v>
      </c>
      <c r="M19" t="str">
        <v>No</v>
      </c>
      <c r="N19">
        <v>0</v>
      </c>
      <c r="O19">
        <v>0</v>
      </c>
      <c r="P19">
        <v>0</v>
      </c>
      <c r="Q19" t="str">
        <v>Current</v>
      </c>
      <c r="R19" t="str">
        <v>Yes</v>
      </c>
      <c r="S19" t="str">
        <v>No</v>
      </c>
      <c r="T19" t="str">
        <v>No</v>
      </c>
      <c r="U19" t="str">
        <v>Eligible</v>
      </c>
      <c r="V19" t="str">
        <v>Eligible for Fulfillment</v>
      </c>
    </row>
    <row r="20" spans="1:22">
      <c r="A20" t="str">
        <v>76</v>
      </c>
      <c r="B20" t="str">
        <v>Valid</v>
      </c>
      <c r="C20" t="str">
        <v>Sarah</v>
      </c>
      <c r="D20" t="str">
        <v>Zimmermann</v>
      </c>
      <c r="E20" t="str">
        <v>sarah.zimmermann76@example.com</v>
      </c>
      <c r="F20" t="str">
        <v>Bärenstraße</v>
      </c>
      <c r="G20" t="str">
        <v>176</v>
      </c>
      <c r="H20" t="str">
        <v>97070</v>
      </c>
      <c r="I20" t="str">
        <v>Würzburg</v>
      </c>
      <c r="J20" t="str">
        <v>Germany</v>
      </c>
      <c r="K20" t="str">
        <v>Product A</v>
      </c>
      <c r="L20" t="str">
        <v>2026-07-15</v>
      </c>
      <c r="M20" t="str">
        <v>Yes</v>
      </c>
      <c r="N20" t="str">
        <v>35-44</v>
      </c>
      <c r="O20" t="str">
        <v>Female</v>
      </c>
      <c r="P20" t="str">
        <v>Daily</v>
      </c>
      <c r="Q20" t="str">
        <v>Current</v>
      </c>
      <c r="R20" t="str">
        <v>Yes</v>
      </c>
      <c r="S20" t="str">
        <v>No</v>
      </c>
      <c r="T20" t="str">
        <v>No</v>
      </c>
      <c r="U20" t="str">
        <v>Eligible</v>
      </c>
      <c r="V20" t="str">
        <v>Eligible for Fulfillment</v>
      </c>
    </row>
    <row r="21" spans="1:22">
      <c r="A21" t="str">
        <v>77</v>
      </c>
      <c r="B21" t="str">
        <v>Valid</v>
      </c>
      <c r="C21" t="str">
        <v>Moritz</v>
      </c>
      <c r="D21" t="str">
        <v>Berger</v>
      </c>
      <c r="E21" t="str">
        <v>moritz.berger77@example.com</v>
      </c>
      <c r="F21" t="str">
        <v>Goethestraße</v>
      </c>
      <c r="G21" t="str">
        <v>177</v>
      </c>
      <c r="H21" t="str">
        <v>55116</v>
      </c>
      <c r="I21" t="str">
        <v>Mainz</v>
      </c>
      <c r="J21" t="str">
        <v>Germany</v>
      </c>
      <c r="K21" t="str">
        <v>Product B</v>
      </c>
      <c r="L21" t="str">
        <v>2026-07-16</v>
      </c>
      <c r="M21" t="str">
        <v>Yes</v>
      </c>
      <c r="N21" t="str">
        <v>55-64</v>
      </c>
      <c r="O21" t="str">
        <v>Prefer not to say</v>
      </c>
      <c r="P21" t="str">
        <v>Several times per week</v>
      </c>
      <c r="Q21" t="str">
        <v>Current</v>
      </c>
      <c r="R21" t="str">
        <v>Yes</v>
      </c>
      <c r="S21" t="str">
        <v>No</v>
      </c>
      <c r="T21" t="str">
        <v>No</v>
      </c>
      <c r="U21" t="str">
        <v>Eligible</v>
      </c>
      <c r="V21" t="str">
        <v>Eligible for Fulfillment</v>
      </c>
    </row>
    <row r="22" spans="1:22">
      <c r="A22" t="str">
        <v>79</v>
      </c>
      <c r="B22" t="str">
        <v>Valid</v>
      </c>
      <c r="C22" t="str">
        <v>Paul</v>
      </c>
      <c r="D22" t="str">
        <v>Seidel</v>
      </c>
      <c r="E22" t="str">
        <v>paul.seidel79@example.com</v>
      </c>
      <c r="F22" t="str">
        <v>Kirchstraße</v>
      </c>
      <c r="G22" t="str">
        <v>179</v>
      </c>
      <c r="H22" t="str">
        <v>69117</v>
      </c>
      <c r="I22" t="str">
        <v>Heidelberg</v>
      </c>
      <c r="J22" t="str">
        <v>Germany</v>
      </c>
      <c r="K22" t="str">
        <v>Product D</v>
      </c>
      <c r="L22" t="str">
        <v>2026-07-18</v>
      </c>
      <c r="M22" t="str">
        <v>Yes</v>
      </c>
      <c r="N22" t="str">
        <v>35-44</v>
      </c>
      <c r="O22" t="str">
        <v>Male</v>
      </c>
      <c r="P22" t="str">
        <v>Rarely</v>
      </c>
      <c r="Q22" t="str">
        <v>Current</v>
      </c>
      <c r="R22" t="str">
        <v>Yes</v>
      </c>
      <c r="S22" t="str">
        <v>No</v>
      </c>
      <c r="T22" t="str">
        <v>No</v>
      </c>
      <c r="U22" t="str">
        <v>Eligible</v>
      </c>
      <c r="V22" t="str">
        <v>Eligible for Fulfillment</v>
      </c>
    </row>
    <row r="23" spans="1:22">
      <c r="A23" t="str">
        <v>80</v>
      </c>
      <c r="B23" t="str">
        <v>Valid</v>
      </c>
      <c r="C23" t="str">
        <v>Julia</v>
      </c>
      <c r="D23" t="str">
        <v>Fischer</v>
      </c>
      <c r="E23" t="str">
        <v>julia.fischer80@example.com</v>
      </c>
      <c r="F23" t="str">
        <v>Birkenstraße</v>
      </c>
      <c r="G23" t="str">
        <v>180</v>
      </c>
      <c r="H23" t="str">
        <v>01067</v>
      </c>
      <c r="I23" t="str">
        <v>Dresden</v>
      </c>
      <c r="J23" t="str">
        <v>Germany</v>
      </c>
      <c r="K23" t="str">
        <v>Product E</v>
      </c>
      <c r="L23" t="str">
        <v>2026-08-31</v>
      </c>
      <c r="M23" t="str">
        <v>Yes</v>
      </c>
      <c r="N23" t="str">
        <v>55-64</v>
      </c>
      <c r="O23" t="str">
        <v>Female</v>
      </c>
      <c r="P23" t="str">
        <v>Daily</v>
      </c>
      <c r="Q23" t="str">
        <v>Current</v>
      </c>
      <c r="R23" t="str">
        <v>Yes</v>
      </c>
      <c r="S23" t="str">
        <v>No</v>
      </c>
      <c r="T23" t="str">
        <v>No</v>
      </c>
      <c r="U23" t="str">
        <v>Eligible</v>
      </c>
      <c r="V23" t="str">
        <v>Eligible for Fulfillment</v>
      </c>
    </row>
    <row r="24" spans="1:22">
      <c r="A24" t="str">
        <v>81</v>
      </c>
      <c r="B24" t="str">
        <v>Valid</v>
      </c>
      <c r="C24" t="str">
        <v>Simon</v>
      </c>
      <c r="D24" t="str">
        <v>Günther</v>
      </c>
      <c r="E24" t="str">
        <v>simon.guenther81@example.com</v>
      </c>
      <c r="F24" t="str">
        <v>Jägerstraße</v>
      </c>
      <c r="G24" t="str">
        <v>181</v>
      </c>
      <c r="H24" t="str">
        <v>66111</v>
      </c>
      <c r="I24" t="str">
        <v>Saarbrücken</v>
      </c>
      <c r="J24" t="str">
        <v>Germany</v>
      </c>
      <c r="K24" t="str">
        <v>Product A</v>
      </c>
      <c r="L24" t="str">
        <v>2026-09-01</v>
      </c>
      <c r="M24" t="str">
        <v>No</v>
      </c>
      <c r="N24">
        <v>0</v>
      </c>
      <c r="O24">
        <v>0</v>
      </c>
      <c r="P24">
        <v>0</v>
      </c>
      <c r="Q24" t="str">
        <v>Current</v>
      </c>
      <c r="R24" t="str">
        <v>Yes</v>
      </c>
      <c r="S24" t="str">
        <v>No</v>
      </c>
      <c r="T24" t="str">
        <v>No</v>
      </c>
      <c r="U24" t="str">
        <v>Eligible</v>
      </c>
      <c r="V24" t="str">
        <v>Eligible for Fulfillment</v>
      </c>
    </row>
    <row r="25" spans="1:22">
      <c r="A25" t="str">
        <v>83</v>
      </c>
      <c r="B25" t="str">
        <v>Valid</v>
      </c>
      <c r="C25" t="str">
        <v>Lukas</v>
      </c>
      <c r="D25" t="str">
        <v>Weiß</v>
      </c>
      <c r="E25" t="str">
        <v>lukas.weiss@example.com</v>
      </c>
      <c r="F25" t="str">
        <v>Goethestrasse</v>
      </c>
      <c r="G25" t="str">
        <v>7</v>
      </c>
      <c r="H25" t="str">
        <v>50667</v>
      </c>
      <c r="I25" t="str">
        <v>Köln</v>
      </c>
      <c r="J25" t="str">
        <v>Germany</v>
      </c>
      <c r="K25" t="str">
        <v>Product C</v>
      </c>
      <c r="L25" t="str">
        <v>2026-09-03</v>
      </c>
      <c r="M25" t="str">
        <v>Yes</v>
      </c>
      <c r="N25" t="str">
        <v>55-64</v>
      </c>
      <c r="O25" t="str">
        <v>Male</v>
      </c>
      <c r="P25" t="str">
        <v>Rarely</v>
      </c>
      <c r="Q25" t="str">
        <v>Current</v>
      </c>
      <c r="R25" t="str">
        <v>Yes</v>
      </c>
      <c r="S25" t="str">
        <v>No</v>
      </c>
      <c r="T25" t="str">
        <v>No</v>
      </c>
      <c r="U25" t="str">
        <v>Eligible</v>
      </c>
      <c r="V25" t="str">
        <v>Eligible for Fulfillment</v>
      </c>
    </row>
    <row r="26" spans="1:22">
      <c r="A26" t="str">
        <v>84</v>
      </c>
      <c r="B26" t="str">
        <v>Valid</v>
      </c>
      <c r="C26" t="str">
        <v>Sofia</v>
      </c>
      <c r="D26" t="str">
        <v>Jäger</v>
      </c>
      <c r="E26" t="str">
        <v>sofia.jaeger84@example.com</v>
      </c>
      <c r="F26" t="str">
        <v>Rosenstraße</v>
      </c>
      <c r="G26" t="str">
        <v>12a</v>
      </c>
      <c r="H26" t="str">
        <v>40213</v>
      </c>
      <c r="I26" t="str">
        <v>Düsseldorf</v>
      </c>
      <c r="J26" t="str">
        <v>Germany</v>
      </c>
      <c r="K26" t="str">
        <v>Product A</v>
      </c>
      <c r="L26" t="str">
        <v>2026-09-04</v>
      </c>
      <c r="M26" t="str">
        <v>No</v>
      </c>
      <c r="N26">
        <v>0</v>
      </c>
      <c r="O26">
        <v>0</v>
      </c>
      <c r="P26">
        <v>0</v>
      </c>
      <c r="Q26" t="str">
        <v>Current</v>
      </c>
      <c r="R26" t="str">
        <v>Yes</v>
      </c>
      <c r="S26" t="str">
        <v>No</v>
      </c>
      <c r="T26" t="str">
        <v>No</v>
      </c>
      <c r="U26" t="str">
        <v>Eligible</v>
      </c>
      <c r="V26" t="str">
        <v>Eligible for Fulfillment</v>
      </c>
    </row>
    <row r="27" spans="1:22">
      <c r="A27" t="str">
        <v>87</v>
      </c>
      <c r="B27" t="str">
        <v>Valid</v>
      </c>
      <c r="C27" t="str">
        <v>Felix</v>
      </c>
      <c r="D27" t="str">
        <v>Hartmann</v>
      </c>
      <c r="E27" t="str">
        <v>felix.hartmann87@example.com</v>
      </c>
      <c r="F27" t="str">
        <v>Hauptstraße</v>
      </c>
      <c r="G27" t="str">
        <v>187</v>
      </c>
      <c r="H27" t="str">
        <v>90402</v>
      </c>
      <c r="I27" t="str">
        <v>Nürnberg</v>
      </c>
      <c r="J27" t="str">
        <v>Germany</v>
      </c>
      <c r="K27" t="str">
        <v>Product B</v>
      </c>
      <c r="L27" t="str">
        <v>2026-08-31</v>
      </c>
      <c r="M27" t="str">
        <v>No</v>
      </c>
      <c r="N27">
        <v>0</v>
      </c>
      <c r="O27">
        <v>0</v>
      </c>
      <c r="P27">
        <v>0</v>
      </c>
      <c r="Q27" t="str">
        <v>Current</v>
      </c>
      <c r="R27" t="str">
        <v>Yes</v>
      </c>
      <c r="S27" t="str">
        <v>No</v>
      </c>
      <c r="T27" t="str">
        <v>No</v>
      </c>
      <c r="U27" t="str">
        <v>Eligible</v>
      </c>
      <c r="V27" t="str">
        <v>Eligible for Fulfillment</v>
      </c>
    </row>
    <row r="28" spans="1:22">
      <c r="A28" t="str">
        <v>89</v>
      </c>
      <c r="B28" t="str">
        <v>Valid</v>
      </c>
      <c r="C28" t="str">
        <v>Mehmet</v>
      </c>
      <c r="D28" t="str">
        <v>Özdemir</v>
      </c>
      <c r="E28" t="str">
        <v>mehmet.oezdemir@example.com</v>
      </c>
      <c r="F28" t="str">
        <v>Bergstrasse</v>
      </c>
      <c r="G28" t="str">
        <v>21</v>
      </c>
      <c r="H28" t="str">
        <v>90402</v>
      </c>
      <c r="I28" t="str">
        <v>Nürnberg</v>
      </c>
      <c r="J28" t="str">
        <v>Germany</v>
      </c>
      <c r="K28" t="str">
        <v>Product D</v>
      </c>
      <c r="L28" t="str">
        <v>2026-09-02</v>
      </c>
      <c r="M28" t="str">
        <v>Yes</v>
      </c>
      <c r="N28" t="str">
        <v>55-64</v>
      </c>
      <c r="O28" t="str">
        <v>Prefer not to say</v>
      </c>
      <c r="P28" t="str">
        <v>Several times per week</v>
      </c>
      <c r="Q28" t="str">
        <v>Current</v>
      </c>
      <c r="R28" t="str">
        <v>Yes</v>
      </c>
      <c r="S28" t="str">
        <v>No</v>
      </c>
      <c r="T28" t="str">
        <v>No</v>
      </c>
      <c r="U28" t="str">
        <v>Eligible</v>
      </c>
      <c r="V28" t="str">
        <v>Eligible for Fulfillment</v>
      </c>
    </row>
    <row r="29" spans="1:22">
      <c r="A29" t="str">
        <v>90</v>
      </c>
      <c r="B29" t="str">
        <v>Valid</v>
      </c>
      <c r="C29" t="str">
        <v>Anna</v>
      </c>
      <c r="D29" t="str">
        <v>Müller</v>
      </c>
      <c r="E29" t="str">
        <v>anna.mueller90@example.com</v>
      </c>
      <c r="F29" t="str">
        <v>Parkstraße</v>
      </c>
      <c r="G29" t="str">
        <v>190</v>
      </c>
      <c r="H29" t="str">
        <v>14467</v>
      </c>
      <c r="I29" t="str">
        <v>Potsdam</v>
      </c>
      <c r="J29" t="str">
        <v>Germany</v>
      </c>
      <c r="K29" t="str">
        <v>Product E</v>
      </c>
      <c r="L29" t="str">
        <v>2026-09-03</v>
      </c>
      <c r="M29" t="str">
        <v>No</v>
      </c>
      <c r="N29">
        <v>0</v>
      </c>
      <c r="O29">
        <v>0</v>
      </c>
      <c r="P29">
        <v>0</v>
      </c>
      <c r="Q29" t="str">
        <v>Current</v>
      </c>
      <c r="R29" t="str">
        <v>Yes</v>
      </c>
      <c r="S29" t="str">
        <v>No</v>
      </c>
      <c r="T29" t="str">
        <v>No</v>
      </c>
      <c r="U29" t="str">
        <v>Eligible</v>
      </c>
      <c r="V29" t="str">
        <v>Eligible for Fulfillment</v>
      </c>
    </row>
    <row r="30" spans="1:22">
      <c r="A30" t="str">
        <v>93</v>
      </c>
      <c r="B30" t="str">
        <v>Valid</v>
      </c>
      <c r="C30" t="str">
        <v>Anna</v>
      </c>
      <c r="D30" t="str">
        <v>Müller</v>
      </c>
      <c r="E30" t="str">
        <v>anna.mueller.current2@example.com</v>
      </c>
      <c r="F30" t="str">
        <v>Parkstraße</v>
      </c>
      <c r="G30" t="str">
        <v>8</v>
      </c>
      <c r="H30" t="str">
        <v>50667</v>
      </c>
      <c r="I30" t="str">
        <v>Köln</v>
      </c>
      <c r="J30" t="str">
        <v>Germany</v>
      </c>
      <c r="K30" t="str">
        <v>Product C</v>
      </c>
      <c r="L30" t="str">
        <v>2026-09-06</v>
      </c>
      <c r="M30" t="str">
        <v>No</v>
      </c>
      <c r="N30">
        <v>0</v>
      </c>
      <c r="O30">
        <v>0</v>
      </c>
      <c r="P30">
        <v>0</v>
      </c>
      <c r="Q30" t="str">
        <v>Current</v>
      </c>
      <c r="R30" t="str">
        <v>Yes</v>
      </c>
      <c r="S30" t="str">
        <v>No</v>
      </c>
      <c r="T30" t="str">
        <v>No</v>
      </c>
      <c r="U30" t="str">
        <v>Eligible</v>
      </c>
      <c r="V30" t="str">
        <v>Eligible for Fulfillment</v>
      </c>
    </row>
    <row r="31" spans="1:22">
      <c r="A31" t="str">
        <v>95</v>
      </c>
      <c r="B31" t="str">
        <v>Valid</v>
      </c>
      <c r="C31" t="str">
        <v>Laura</v>
      </c>
      <c r="D31" t="str">
        <v>Neumann</v>
      </c>
      <c r="E31" t="str">
        <v>laura.neumann@example.com</v>
      </c>
      <c r="F31" t="str">
        <v>Feldstraße</v>
      </c>
      <c r="G31" t="str">
        <v>17</v>
      </c>
      <c r="H31" t="str">
        <v>69117</v>
      </c>
      <c r="I31" t="str">
        <v>Heidelberg</v>
      </c>
      <c r="J31" t="str">
        <v>Germany</v>
      </c>
      <c r="K31" t="str">
        <v>Product C</v>
      </c>
      <c r="L31" t="str">
        <v>2026-09-01</v>
      </c>
      <c r="M31" t="str">
        <v>Yes</v>
      </c>
      <c r="N31" t="str">
        <v>55-64</v>
      </c>
      <c r="O31" t="str">
        <v>Male</v>
      </c>
      <c r="P31" t="str">
        <v>Rarely</v>
      </c>
      <c r="Q31" t="str">
        <v>Current</v>
      </c>
      <c r="R31" t="str">
        <v>Yes</v>
      </c>
      <c r="S31" t="str">
        <v>No</v>
      </c>
      <c r="T31" t="str">
        <v>No</v>
      </c>
      <c r="U31" t="str">
        <v>Eligible</v>
      </c>
      <c r="V31" t="str">
        <v>Eligible for Fulfillment</v>
      </c>
    </row>
    <row r="32" spans="1:22">
      <c r="A32" t="str">
        <v>98</v>
      </c>
      <c r="B32" t="str">
        <v>Valid</v>
      </c>
      <c r="C32" t="str">
        <v>Marlene</v>
      </c>
      <c r="D32" t="str">
        <v>Pohl</v>
      </c>
      <c r="E32" t="str">
        <v>marlene.pohl98@example.com</v>
      </c>
      <c r="F32" t="str">
        <v>Lessingstraße</v>
      </c>
      <c r="G32" t="str">
        <v>198</v>
      </c>
      <c r="H32" t="str">
        <v>40213</v>
      </c>
      <c r="I32" t="str">
        <v>Düsseldorf</v>
      </c>
      <c r="J32" t="str">
        <v>Germany</v>
      </c>
      <c r="K32" t="str">
        <v>Product C</v>
      </c>
      <c r="L32" t="str">
        <v>2026-09-04</v>
      </c>
      <c r="M32" t="str">
        <v>Yes</v>
      </c>
      <c r="N32" t="str">
        <v>55-64</v>
      </c>
      <c r="O32" t="str">
        <v>Diverse</v>
      </c>
      <c r="P32" t="str">
        <v>Occasionally</v>
      </c>
      <c r="Q32" t="str">
        <v>Current</v>
      </c>
      <c r="R32" t="str">
        <v>Yes</v>
      </c>
      <c r="S32" t="str">
        <v>No</v>
      </c>
      <c r="T32" t="str">
        <v>No</v>
      </c>
      <c r="U32" t="str">
        <v>Eligible</v>
      </c>
      <c r="V32" t="str">
        <v>Eligible for Fulfillment</v>
      </c>
    </row>
    <row r="33" spans="1:22">
      <c r="A33" t="str">
        <v>99</v>
      </c>
      <c r="B33" t="str">
        <v>Valid</v>
      </c>
      <c r="C33" t="str">
        <v>Markus</v>
      </c>
      <c r="D33" t="str">
        <v>Keller</v>
      </c>
      <c r="E33" t="str">
        <v>markus.keller@example.com</v>
      </c>
      <c r="F33" t="str">
        <v>Parkstraße</v>
      </c>
      <c r="G33" t="str">
        <v>10</v>
      </c>
      <c r="H33" t="str">
        <v>53111</v>
      </c>
      <c r="I33" t="str">
        <v>Bonn</v>
      </c>
      <c r="J33" t="str">
        <v>Germany</v>
      </c>
      <c r="K33" t="str">
        <v>Product E</v>
      </c>
      <c r="L33" t="str">
        <v>2026-09-05</v>
      </c>
      <c r="M33" t="str">
        <v>No</v>
      </c>
      <c r="N33">
        <v>0</v>
      </c>
      <c r="O33">
        <v>0</v>
      </c>
      <c r="P33">
        <v>0</v>
      </c>
      <c r="Q33" t="str">
        <v>Current</v>
      </c>
      <c r="R33" t="str">
        <v>Yes</v>
      </c>
      <c r="S33" t="str">
        <v>No</v>
      </c>
      <c r="T33" t="str">
        <v>No</v>
      </c>
      <c r="U33" t="str">
        <v>Eligible</v>
      </c>
      <c r="V33" t="str">
        <v>Eligible for Fulfillment</v>
      </c>
    </row>
    <row r="34" spans="1:22">
      <c r="A34" t="str">
        <v>100</v>
      </c>
      <c r="B34" t="str">
        <v>Valid</v>
      </c>
      <c r="C34" t="str">
        <v>Hannah</v>
      </c>
      <c r="D34" t="str">
        <v>Günther</v>
      </c>
      <c r="E34" t="str">
        <v>hannah.guenther@example.com</v>
      </c>
      <c r="F34" t="str">
        <v>Bärenstraße</v>
      </c>
      <c r="G34" t="str">
        <v>27</v>
      </c>
      <c r="H34" t="str">
        <v>37073</v>
      </c>
      <c r="I34" t="str">
        <v>Göttingen</v>
      </c>
      <c r="J34" t="str">
        <v>Germany</v>
      </c>
      <c r="K34" t="str">
        <v>Product A</v>
      </c>
      <c r="L34" t="str">
        <v>2026-09-06</v>
      </c>
      <c r="M34" t="str">
        <v>Yes</v>
      </c>
      <c r="N34" t="str">
        <v>35-44</v>
      </c>
      <c r="O34" t="str">
        <v>Female</v>
      </c>
      <c r="P34" t="str">
        <v>Daily</v>
      </c>
      <c r="Q34" t="str">
        <v>Current</v>
      </c>
      <c r="R34" t="str">
        <v>Yes</v>
      </c>
      <c r="S34" t="str">
        <v>No</v>
      </c>
      <c r="T34" t="str">
        <v>No</v>
      </c>
      <c r="U34" t="str">
        <v>Eligible</v>
      </c>
      <c r="V34" t="str">
        <v>Eligible for Fulfillment</v>
      </c>
    </row>
  </sheetData>
  <autoFilter ref="A5:V5" xr:uid="{00000000-0009-0000-0000-000009000000}"/>
  <mergeCells count="2">
    <mergeCell ref="A4:V4"/>
    <mergeCell ref="A1:V2"/>
  </mergeCells>
  <pageMargins left="0.75" right="0.75" top="1" bottom="1" header="0.5" footer="0.5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3"/>
  <dimension ref="A1:V12"/>
  <sheetViews>
    <sheetView showGridLines="0" workbookViewId="0">
      <pane ySplit="5" topLeftCell="A6" activePane="bottomLeft" state="frozen"/>
      <selection pane="bottomLeft" activeCell="A7" sqref="A7"/>
    </sheetView>
  </sheetViews>
  <sheetFormatPr baseColWidth="10" defaultColWidth="8.6640625" defaultRowHeight="14"/>
  <cols>
    <col min="1" max="1" width="10" customWidth="1"/>
    <col min="2" max="2" width="17" customWidth="1"/>
    <col min="3" max="3" width="14" customWidth="1"/>
    <col min="4" max="4" width="16" customWidth="1"/>
    <col min="5" max="5" width="27" customWidth="1"/>
    <col min="6" max="6" width="20" customWidth="1"/>
    <col min="7" max="8" width="12" customWidth="1"/>
    <col min="9" max="9" width="16" customWidth="1"/>
    <col min="10" max="10" width="13" customWidth="1"/>
    <col min="11" max="11" width="15" customWidth="1"/>
    <col min="12" max="12" width="14" customWidth="1"/>
    <col min="13" max="13" width="16" customWidth="1"/>
    <col min="14" max="14" width="12" customWidth="1"/>
    <col min="15" max="15" width="16" customWidth="1"/>
    <col min="16" max="16" width="22" customWidth="1"/>
    <col min="17" max="17" width="17" customWidth="1"/>
    <col min="18" max="18" width="15" customWidth="1"/>
    <col min="19" max="19" width="18" customWidth="1"/>
    <col min="20" max="20" width="20" customWidth="1"/>
    <col min="21" max="21" width="16" customWidth="1"/>
    <col min="22" max="22" width="28" customWidth="1"/>
  </cols>
  <sheetData>
    <row r="1" spans="1:22" ht="28" customHeight="1">
      <c r="A1" s="85" t="s">
        <v>710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</row>
    <row r="2" spans="1:2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</row>
    <row r="4" spans="1:22">
      <c r="A4" s="181" t="s">
        <v>709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</row>
    <row r="5" spans="1:22">
      <c r="A5" s="76" t="s">
        <v>0</v>
      </c>
      <c r="B5" s="76" t="s">
        <v>1</v>
      </c>
      <c r="C5" s="76" t="s">
        <v>2</v>
      </c>
      <c r="D5" s="76" t="s">
        <v>3</v>
      </c>
      <c r="E5" s="76" t="s">
        <v>4</v>
      </c>
      <c r="F5" s="76" t="s">
        <v>5</v>
      </c>
      <c r="G5" s="76" t="s">
        <v>6</v>
      </c>
      <c r="H5" s="76" t="s">
        <v>7</v>
      </c>
      <c r="I5" s="76" t="s">
        <v>8</v>
      </c>
      <c r="J5" s="76" t="s">
        <v>9</v>
      </c>
      <c r="K5" s="76" t="s">
        <v>10</v>
      </c>
      <c r="L5" s="76" t="s">
        <v>11</v>
      </c>
      <c r="M5" s="76" t="s">
        <v>12</v>
      </c>
      <c r="N5" s="76" t="s">
        <v>13</v>
      </c>
      <c r="O5" s="76" t="s">
        <v>14</v>
      </c>
      <c r="P5" s="76" t="s">
        <v>15</v>
      </c>
      <c r="Q5" s="76" t="s">
        <v>616</v>
      </c>
      <c r="R5" s="76" t="s">
        <v>619</v>
      </c>
      <c r="S5" s="76" t="s">
        <v>617</v>
      </c>
      <c r="T5" s="76" t="s">
        <v>618</v>
      </c>
      <c r="U5" s="76" t="s">
        <v>676</v>
      </c>
      <c r="V5" s="76" t="s">
        <v>677</v>
      </c>
    </row>
    <row r="6" spans="1:22">
      <c r="A6" s="77" t="str" cm="1">
        <f t="array" ref="A6:V12">_xlfn._xlws.FILTER(OrdersSingleSourceOfTruth[#Data],(OrdersSingleSourceOfTruth[EligibilityStatus]="Eligible")*(OrdersSingleSourceOfTruth[SelectedProduct]="Product A"),"No eligible Product A orders")</f>
        <v>61</v>
      </c>
      <c r="B6" t="str">
        <v>Valid</v>
      </c>
      <c r="C6" t="str">
        <v>Thomas</v>
      </c>
      <c r="D6" t="str">
        <v>Wagner</v>
      </c>
      <c r="E6" t="str">
        <v>thomas.wagner61@example.com</v>
      </c>
      <c r="F6" t="str">
        <v>Feldstraße</v>
      </c>
      <c r="G6" t="str">
        <v>161</v>
      </c>
      <c r="H6" t="str">
        <v>50667</v>
      </c>
      <c r="I6" t="str">
        <v>Köln</v>
      </c>
      <c r="J6" t="str">
        <v>Germany</v>
      </c>
      <c r="K6" t="str">
        <v>Product A</v>
      </c>
      <c r="L6" t="str">
        <v>2026-06-30</v>
      </c>
      <c r="M6" t="str">
        <v>Yes</v>
      </c>
      <c r="N6" t="str">
        <v>35-44</v>
      </c>
      <c r="O6" t="str">
        <v>Prefer not to say</v>
      </c>
      <c r="P6" t="str">
        <v>Several times per week</v>
      </c>
      <c r="Q6" t="str">
        <v>Current</v>
      </c>
      <c r="R6" t="str">
        <v>Yes</v>
      </c>
      <c r="S6" t="str">
        <v>No</v>
      </c>
      <c r="T6" t="str">
        <v>No</v>
      </c>
      <c r="U6" t="str">
        <v>Eligible</v>
      </c>
      <c r="V6" t="str">
        <v>Eligible for Fulfillment</v>
      </c>
    </row>
    <row r="7" spans="1:22">
      <c r="A7" t="str">
        <v>66</v>
      </c>
      <c r="B7" t="str">
        <v>Valid</v>
      </c>
      <c r="C7" t="str">
        <v>Nina</v>
      </c>
      <c r="D7" t="str">
        <v>Schröder</v>
      </c>
      <c r="E7" t="str">
        <v>nina.schroeder66@example.com</v>
      </c>
      <c r="F7" t="str">
        <v>Parkstraße</v>
      </c>
      <c r="G7" t="str">
        <v>166</v>
      </c>
      <c r="H7" t="str">
        <v>14467</v>
      </c>
      <c r="I7" t="str">
        <v>Potsdam</v>
      </c>
      <c r="J7" t="str">
        <v>Germany</v>
      </c>
      <c r="K7" t="str">
        <v>Product A</v>
      </c>
      <c r="L7" t="str">
        <v>2026-07-05</v>
      </c>
      <c r="M7" t="str">
        <v>No</v>
      </c>
      <c r="N7">
        <v>0</v>
      </c>
      <c r="O7">
        <v>0</v>
      </c>
      <c r="P7">
        <v>0</v>
      </c>
      <c r="Q7" t="str">
        <v>Current</v>
      </c>
      <c r="R7" t="str">
        <v>Yes</v>
      </c>
      <c r="S7" t="str">
        <v>No</v>
      </c>
      <c r="T7" t="str">
        <v>No</v>
      </c>
      <c r="U7" t="str">
        <v>Eligible</v>
      </c>
      <c r="V7" t="str">
        <v>Eligible for Fulfillment</v>
      </c>
    </row>
    <row r="8" spans="1:22">
      <c r="A8" t="str">
        <v>71</v>
      </c>
      <c r="B8" t="str">
        <v>Valid</v>
      </c>
      <c r="C8" t="str">
        <v>Noah</v>
      </c>
      <c r="D8" t="str">
        <v>Weiß</v>
      </c>
      <c r="E8" t="str">
        <v>noah.weiss71@example.com</v>
      </c>
      <c r="F8" t="str">
        <v>Königsstraße</v>
      </c>
      <c r="G8" t="str">
        <v>171</v>
      </c>
      <c r="H8" t="str">
        <v>10115</v>
      </c>
      <c r="I8" t="str">
        <v>Berlin</v>
      </c>
      <c r="J8" t="str">
        <v>Germany</v>
      </c>
      <c r="K8" t="str">
        <v>Product A</v>
      </c>
      <c r="L8" t="str">
        <v>2026-07-10</v>
      </c>
      <c r="M8" t="str">
        <v>Yes</v>
      </c>
      <c r="N8" t="str">
        <v>55-64</v>
      </c>
      <c r="O8" t="str">
        <v>Male</v>
      </c>
      <c r="P8" t="str">
        <v>Rarely</v>
      </c>
      <c r="Q8" t="str">
        <v>Current</v>
      </c>
      <c r="R8" t="str">
        <v>Yes</v>
      </c>
      <c r="S8" t="str">
        <v>No</v>
      </c>
      <c r="T8" t="str">
        <v>No</v>
      </c>
      <c r="U8" t="str">
        <v>Eligible</v>
      </c>
      <c r="V8" t="str">
        <v>Eligible for Fulfillment</v>
      </c>
    </row>
    <row r="9" spans="1:22">
      <c r="A9" t="str">
        <v>76</v>
      </c>
      <c r="B9" t="str">
        <v>Valid</v>
      </c>
      <c r="C9" t="str">
        <v>Sarah</v>
      </c>
      <c r="D9" t="str">
        <v>Zimmermann</v>
      </c>
      <c r="E9" t="str">
        <v>sarah.zimmermann76@example.com</v>
      </c>
      <c r="F9" t="str">
        <v>Bärenstraße</v>
      </c>
      <c r="G9" t="str">
        <v>176</v>
      </c>
      <c r="H9" t="str">
        <v>97070</v>
      </c>
      <c r="I9" t="str">
        <v>Würzburg</v>
      </c>
      <c r="J9" t="str">
        <v>Germany</v>
      </c>
      <c r="K9" t="str">
        <v>Product A</v>
      </c>
      <c r="L9" t="str">
        <v>2026-07-15</v>
      </c>
      <c r="M9" t="str">
        <v>Yes</v>
      </c>
      <c r="N9" t="str">
        <v>35-44</v>
      </c>
      <c r="O9" t="str">
        <v>Female</v>
      </c>
      <c r="P9" t="str">
        <v>Daily</v>
      </c>
      <c r="Q9" t="str">
        <v>Current</v>
      </c>
      <c r="R9" t="str">
        <v>Yes</v>
      </c>
      <c r="S9" t="str">
        <v>No</v>
      </c>
      <c r="T9" t="str">
        <v>No</v>
      </c>
      <c r="U9" t="str">
        <v>Eligible</v>
      </c>
      <c r="V9" t="str">
        <v>Eligible for Fulfillment</v>
      </c>
    </row>
    <row r="10" spans="1:22">
      <c r="A10" t="str">
        <v>81</v>
      </c>
      <c r="B10" t="str">
        <v>Valid</v>
      </c>
      <c r="C10" t="str">
        <v>Simon</v>
      </c>
      <c r="D10" t="str">
        <v>Günther</v>
      </c>
      <c r="E10" t="str">
        <v>simon.guenther81@example.com</v>
      </c>
      <c r="F10" t="str">
        <v>Jägerstraße</v>
      </c>
      <c r="G10" t="str">
        <v>181</v>
      </c>
      <c r="H10" t="str">
        <v>66111</v>
      </c>
      <c r="I10" t="str">
        <v>Saarbrücken</v>
      </c>
      <c r="J10" t="str">
        <v>Germany</v>
      </c>
      <c r="K10" t="str">
        <v>Product A</v>
      </c>
      <c r="L10" t="str">
        <v>2026-09-01</v>
      </c>
      <c r="M10" t="str">
        <v>No</v>
      </c>
      <c r="N10">
        <v>0</v>
      </c>
      <c r="O10">
        <v>0</v>
      </c>
      <c r="P10">
        <v>0</v>
      </c>
      <c r="Q10" t="str">
        <v>Current</v>
      </c>
      <c r="R10" t="str">
        <v>Yes</v>
      </c>
      <c r="S10" t="str">
        <v>No</v>
      </c>
      <c r="T10" t="str">
        <v>No</v>
      </c>
      <c r="U10" t="str">
        <v>Eligible</v>
      </c>
      <c r="V10" t="str">
        <v>Eligible for Fulfillment</v>
      </c>
    </row>
    <row r="11" spans="1:22">
      <c r="A11" t="str">
        <v>84</v>
      </c>
      <c r="B11" t="str">
        <v>Valid</v>
      </c>
      <c r="C11" t="str">
        <v>Sofia</v>
      </c>
      <c r="D11" t="str">
        <v>Jäger</v>
      </c>
      <c r="E11" t="str">
        <v>sofia.jaeger84@example.com</v>
      </c>
      <c r="F11" t="str">
        <v>Rosenstraße</v>
      </c>
      <c r="G11" t="str">
        <v>12a</v>
      </c>
      <c r="H11" t="str">
        <v>40213</v>
      </c>
      <c r="I11" t="str">
        <v>Düsseldorf</v>
      </c>
      <c r="J11" t="str">
        <v>Germany</v>
      </c>
      <c r="K11" t="str">
        <v>Product A</v>
      </c>
      <c r="L11" t="str">
        <v>2026-09-04</v>
      </c>
      <c r="M11" t="str">
        <v>No</v>
      </c>
      <c r="N11">
        <v>0</v>
      </c>
      <c r="O11">
        <v>0</v>
      </c>
      <c r="P11">
        <v>0</v>
      </c>
      <c r="Q11" t="str">
        <v>Current</v>
      </c>
      <c r="R11" t="str">
        <v>Yes</v>
      </c>
      <c r="S11" t="str">
        <v>No</v>
      </c>
      <c r="T11" t="str">
        <v>No</v>
      </c>
      <c r="U11" t="str">
        <v>Eligible</v>
      </c>
      <c r="V11" t="str">
        <v>Eligible for Fulfillment</v>
      </c>
    </row>
    <row r="12" spans="1:22">
      <c r="A12" t="str">
        <v>100</v>
      </c>
      <c r="B12" t="str">
        <v>Valid</v>
      </c>
      <c r="C12" t="str">
        <v>Hannah</v>
      </c>
      <c r="D12" t="str">
        <v>Günther</v>
      </c>
      <c r="E12" t="str">
        <v>hannah.guenther@example.com</v>
      </c>
      <c r="F12" t="str">
        <v>Bärenstraße</v>
      </c>
      <c r="G12" t="str">
        <v>27</v>
      </c>
      <c r="H12" t="str">
        <v>37073</v>
      </c>
      <c r="I12" t="str">
        <v>Göttingen</v>
      </c>
      <c r="J12" t="str">
        <v>Germany</v>
      </c>
      <c r="K12" t="str">
        <v>Product A</v>
      </c>
      <c r="L12" t="str">
        <v>2026-09-06</v>
      </c>
      <c r="M12" t="str">
        <v>Yes</v>
      </c>
      <c r="N12" t="str">
        <v>35-44</v>
      </c>
      <c r="O12" t="str">
        <v>Female</v>
      </c>
      <c r="P12" t="str">
        <v>Daily</v>
      </c>
      <c r="Q12" t="str">
        <v>Current</v>
      </c>
      <c r="R12" t="str">
        <v>Yes</v>
      </c>
      <c r="S12" t="str">
        <v>No</v>
      </c>
      <c r="T12" t="str">
        <v>No</v>
      </c>
      <c r="U12" t="str">
        <v>Eligible</v>
      </c>
      <c r="V12" t="str">
        <v>Eligible for Fulfillment</v>
      </c>
    </row>
  </sheetData>
  <autoFilter ref="A5:V5" xr:uid="{00000000-0009-0000-0000-00000A000000}"/>
  <mergeCells count="2">
    <mergeCell ref="A4:V4"/>
    <mergeCell ref="A1:V2"/>
  </mergeCells>
  <pageMargins left="0.75" right="0.75" top="1" bottom="1" header="0.5" footer="0.5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4"/>
  <dimension ref="A1:V10"/>
  <sheetViews>
    <sheetView showGridLines="0" workbookViewId="0">
      <pane ySplit="5" topLeftCell="A6" activePane="bottomLeft" state="frozen"/>
      <selection pane="bottomLeft" activeCell="A7" sqref="A7"/>
    </sheetView>
  </sheetViews>
  <sheetFormatPr baseColWidth="10" defaultColWidth="8.6640625" defaultRowHeight="14"/>
  <cols>
    <col min="1" max="1" width="10" customWidth="1"/>
    <col min="2" max="2" width="17" customWidth="1"/>
    <col min="3" max="3" width="14" customWidth="1"/>
    <col min="4" max="4" width="16" customWidth="1"/>
    <col min="5" max="5" width="27" customWidth="1"/>
    <col min="6" max="6" width="20" customWidth="1"/>
    <col min="7" max="8" width="12" customWidth="1"/>
    <col min="9" max="9" width="16" customWidth="1"/>
    <col min="10" max="10" width="13" customWidth="1"/>
    <col min="11" max="11" width="15" customWidth="1"/>
    <col min="12" max="12" width="14" customWidth="1"/>
    <col min="13" max="13" width="16" customWidth="1"/>
    <col min="14" max="14" width="12" customWidth="1"/>
    <col min="15" max="15" width="16" customWidth="1"/>
    <col min="16" max="16" width="22" customWidth="1"/>
    <col min="17" max="17" width="17" customWidth="1"/>
    <col min="18" max="18" width="15" customWidth="1"/>
    <col min="19" max="19" width="18" customWidth="1"/>
    <col min="20" max="20" width="20" customWidth="1"/>
    <col min="21" max="21" width="16" customWidth="1"/>
    <col min="22" max="22" width="28" customWidth="1"/>
  </cols>
  <sheetData>
    <row r="1" spans="1:22" ht="28" customHeight="1">
      <c r="A1" s="85" t="s">
        <v>711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</row>
    <row r="2" spans="1:2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</row>
    <row r="4" spans="1:22">
      <c r="A4" s="181" t="s">
        <v>709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</row>
    <row r="5" spans="1:22">
      <c r="A5" s="76" t="s">
        <v>0</v>
      </c>
      <c r="B5" s="76" t="s">
        <v>1</v>
      </c>
      <c r="C5" s="76" t="s">
        <v>2</v>
      </c>
      <c r="D5" s="76" t="s">
        <v>3</v>
      </c>
      <c r="E5" s="76" t="s">
        <v>4</v>
      </c>
      <c r="F5" s="76" t="s">
        <v>5</v>
      </c>
      <c r="G5" s="76" t="s">
        <v>6</v>
      </c>
      <c r="H5" s="76" t="s">
        <v>7</v>
      </c>
      <c r="I5" s="76" t="s">
        <v>8</v>
      </c>
      <c r="J5" s="76" t="s">
        <v>9</v>
      </c>
      <c r="K5" s="76" t="s">
        <v>10</v>
      </c>
      <c r="L5" s="76" t="s">
        <v>11</v>
      </c>
      <c r="M5" s="76" t="s">
        <v>12</v>
      </c>
      <c r="N5" s="76" t="s">
        <v>13</v>
      </c>
      <c r="O5" s="76" t="s">
        <v>14</v>
      </c>
      <c r="P5" s="76" t="s">
        <v>15</v>
      </c>
      <c r="Q5" s="76" t="s">
        <v>616</v>
      </c>
      <c r="R5" s="76" t="s">
        <v>619</v>
      </c>
      <c r="S5" s="76" t="s">
        <v>617</v>
      </c>
      <c r="T5" s="76" t="s">
        <v>618</v>
      </c>
      <c r="U5" s="76" t="s">
        <v>676</v>
      </c>
      <c r="V5" s="76" t="s">
        <v>677</v>
      </c>
    </row>
    <row r="6" spans="1:22">
      <c r="A6" s="77" t="str" cm="1">
        <f t="array" ref="A6:V10">_xlfn._xlws.FILTER(OrdersSingleSourceOfTruth[#Data],(OrdersSingleSourceOfTruth[EligibilityStatus]="Eligible")*(OrdersSingleSourceOfTruth[SelectedProduct]="Product B"),"No eligible Product A orders")</f>
        <v>62</v>
      </c>
      <c r="B6" t="str">
        <v>Valid</v>
      </c>
      <c r="C6" t="str">
        <v>Laura</v>
      </c>
      <c r="D6" t="str">
        <v>Fröhlich</v>
      </c>
      <c r="E6" t="str">
        <v>laura.froehlich62@example.com</v>
      </c>
      <c r="F6" t="str">
        <v>Grüner Weg</v>
      </c>
      <c r="G6" t="str">
        <v>162</v>
      </c>
      <c r="H6" t="str">
        <v>48143</v>
      </c>
      <c r="I6" t="str">
        <v>Münster</v>
      </c>
      <c r="J6" t="str">
        <v>Germany</v>
      </c>
      <c r="K6" t="str">
        <v>Product B</v>
      </c>
      <c r="L6" t="str">
        <v>2026-07-01</v>
      </c>
      <c r="M6" t="str">
        <v>Yes</v>
      </c>
      <c r="N6" t="str">
        <v>55-64</v>
      </c>
      <c r="O6" t="str">
        <v>Diverse</v>
      </c>
      <c r="P6" t="str">
        <v>Occasionally</v>
      </c>
      <c r="Q6" t="str">
        <v>Current</v>
      </c>
      <c r="R6" t="str">
        <v>Yes</v>
      </c>
      <c r="S6" t="str">
        <v>No</v>
      </c>
      <c r="T6" t="str">
        <v>No</v>
      </c>
      <c r="U6" t="str">
        <v>Eligible</v>
      </c>
      <c r="V6" t="str">
        <v>Eligible for Fulfillment</v>
      </c>
    </row>
    <row r="7" spans="1:22">
      <c r="A7" t="str">
        <v>67</v>
      </c>
      <c r="B7" t="str">
        <v>Valid</v>
      </c>
      <c r="C7" t="str">
        <v>Leon</v>
      </c>
      <c r="D7" t="str">
        <v>Brandt</v>
      </c>
      <c r="E7" t="str">
        <v>leon.brandt67@example.com</v>
      </c>
      <c r="F7" t="str">
        <v>Märkische Straße</v>
      </c>
      <c r="G7" t="str">
        <v>167</v>
      </c>
      <c r="H7" t="str">
        <v>04109</v>
      </c>
      <c r="I7" t="str">
        <v>Leipzig</v>
      </c>
      <c r="J7" t="str">
        <v>Germany</v>
      </c>
      <c r="K7" t="str">
        <v>Product B</v>
      </c>
      <c r="L7" t="str">
        <v>2026-07-06</v>
      </c>
      <c r="M7" t="str">
        <v>Yes</v>
      </c>
      <c r="N7" t="str">
        <v>35-44</v>
      </c>
      <c r="O7" t="str">
        <v>Male</v>
      </c>
      <c r="P7" t="str">
        <v>Rarely</v>
      </c>
      <c r="Q7" t="str">
        <v>Current</v>
      </c>
      <c r="R7" t="str">
        <v>Yes</v>
      </c>
      <c r="S7" t="str">
        <v>No</v>
      </c>
      <c r="T7" t="str">
        <v>No</v>
      </c>
      <c r="U7" t="str">
        <v>Eligible</v>
      </c>
      <c r="V7" t="str">
        <v>Eligible for Fulfillment</v>
      </c>
    </row>
    <row r="8" spans="1:22">
      <c r="A8" t="str">
        <v>72</v>
      </c>
      <c r="B8" t="str">
        <v>Valid</v>
      </c>
      <c r="C8" t="str">
        <v>Klara</v>
      </c>
      <c r="D8" t="str">
        <v>Becker</v>
      </c>
      <c r="E8" t="str">
        <v>klara.becker72@example.com</v>
      </c>
      <c r="F8" t="str">
        <v>Lindenstraße</v>
      </c>
      <c r="G8" t="str">
        <v>172</v>
      </c>
      <c r="H8" t="str">
        <v>80331</v>
      </c>
      <c r="I8" t="str">
        <v>München</v>
      </c>
      <c r="J8" t="str">
        <v>Germany</v>
      </c>
      <c r="K8" t="str">
        <v>Product B</v>
      </c>
      <c r="L8" t="str">
        <v>2026-07-11</v>
      </c>
      <c r="M8" t="str">
        <v>No</v>
      </c>
      <c r="N8">
        <v>0</v>
      </c>
      <c r="O8">
        <v>0</v>
      </c>
      <c r="P8">
        <v>0</v>
      </c>
      <c r="Q8" t="str">
        <v>Current</v>
      </c>
      <c r="R8" t="str">
        <v>Yes</v>
      </c>
      <c r="S8" t="str">
        <v>No</v>
      </c>
      <c r="T8" t="str">
        <v>No</v>
      </c>
      <c r="U8" t="str">
        <v>Eligible</v>
      </c>
      <c r="V8" t="str">
        <v>Eligible for Fulfillment</v>
      </c>
    </row>
    <row r="9" spans="1:22">
      <c r="A9" t="str">
        <v>77</v>
      </c>
      <c r="B9" t="str">
        <v>Valid</v>
      </c>
      <c r="C9" t="str">
        <v>Moritz</v>
      </c>
      <c r="D9" t="str">
        <v>Berger</v>
      </c>
      <c r="E9" t="str">
        <v>moritz.berger77@example.com</v>
      </c>
      <c r="F9" t="str">
        <v>Goethestraße</v>
      </c>
      <c r="G9" t="str">
        <v>177</v>
      </c>
      <c r="H9" t="str">
        <v>55116</v>
      </c>
      <c r="I9" t="str">
        <v>Mainz</v>
      </c>
      <c r="J9" t="str">
        <v>Germany</v>
      </c>
      <c r="K9" t="str">
        <v>Product B</v>
      </c>
      <c r="L9" t="str">
        <v>2026-07-16</v>
      </c>
      <c r="M9" t="str">
        <v>Yes</v>
      </c>
      <c r="N9" t="str">
        <v>55-64</v>
      </c>
      <c r="O9" t="str">
        <v>Prefer not to say</v>
      </c>
      <c r="P9" t="str">
        <v>Several times per week</v>
      </c>
      <c r="Q9" t="str">
        <v>Current</v>
      </c>
      <c r="R9" t="str">
        <v>Yes</v>
      </c>
      <c r="S9" t="str">
        <v>No</v>
      </c>
      <c r="T9" t="str">
        <v>No</v>
      </c>
      <c r="U9" t="str">
        <v>Eligible</v>
      </c>
      <c r="V9" t="str">
        <v>Eligible for Fulfillment</v>
      </c>
    </row>
    <row r="10" spans="1:22">
      <c r="A10" t="str">
        <v>87</v>
      </c>
      <c r="B10" t="str">
        <v>Valid</v>
      </c>
      <c r="C10" t="str">
        <v>Felix</v>
      </c>
      <c r="D10" t="str">
        <v>Hartmann</v>
      </c>
      <c r="E10" t="str">
        <v>felix.hartmann87@example.com</v>
      </c>
      <c r="F10" t="str">
        <v>Hauptstraße</v>
      </c>
      <c r="G10" t="str">
        <v>187</v>
      </c>
      <c r="H10" t="str">
        <v>90402</v>
      </c>
      <c r="I10" t="str">
        <v>Nürnberg</v>
      </c>
      <c r="J10" t="str">
        <v>Germany</v>
      </c>
      <c r="K10" t="str">
        <v>Product B</v>
      </c>
      <c r="L10" t="str">
        <v>2026-08-31</v>
      </c>
      <c r="M10" t="str">
        <v>No</v>
      </c>
      <c r="N10">
        <v>0</v>
      </c>
      <c r="O10">
        <v>0</v>
      </c>
      <c r="P10">
        <v>0</v>
      </c>
      <c r="Q10" t="str">
        <v>Current</v>
      </c>
      <c r="R10" t="str">
        <v>Yes</v>
      </c>
      <c r="S10" t="str">
        <v>No</v>
      </c>
      <c r="T10" t="str">
        <v>No</v>
      </c>
      <c r="U10" t="str">
        <v>Eligible</v>
      </c>
      <c r="V10" t="str">
        <v>Eligible for Fulfillment</v>
      </c>
    </row>
  </sheetData>
  <autoFilter ref="A5:V5" xr:uid="{00000000-0009-0000-0000-00000B000000}"/>
  <mergeCells count="2">
    <mergeCell ref="A4:V4"/>
    <mergeCell ref="A1:V2"/>
  </mergeCells>
  <pageMargins left="0.75" right="0.75" top="1" bottom="1" header="0.5" footer="0.5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5"/>
  <dimension ref="A1:V11"/>
  <sheetViews>
    <sheetView showGridLines="0" workbookViewId="0">
      <pane ySplit="5" topLeftCell="A6" activePane="bottomLeft" state="frozen"/>
      <selection pane="bottomLeft" activeCell="A7" sqref="A7"/>
    </sheetView>
  </sheetViews>
  <sheetFormatPr baseColWidth="10" defaultColWidth="8.6640625" defaultRowHeight="14"/>
  <cols>
    <col min="1" max="1" width="10" customWidth="1"/>
    <col min="2" max="2" width="17" customWidth="1"/>
    <col min="3" max="3" width="14" customWidth="1"/>
    <col min="4" max="4" width="16" customWidth="1"/>
    <col min="5" max="5" width="27" customWidth="1"/>
    <col min="6" max="6" width="20" customWidth="1"/>
    <col min="7" max="8" width="12" customWidth="1"/>
    <col min="9" max="9" width="16" customWidth="1"/>
    <col min="10" max="10" width="13" customWidth="1"/>
    <col min="11" max="11" width="15" customWidth="1"/>
    <col min="12" max="12" width="14" customWidth="1"/>
    <col min="13" max="13" width="16" customWidth="1"/>
    <col min="14" max="14" width="12" customWidth="1"/>
    <col min="15" max="15" width="16" customWidth="1"/>
    <col min="16" max="16" width="22" customWidth="1"/>
    <col min="17" max="17" width="17" customWidth="1"/>
    <col min="18" max="18" width="15" customWidth="1"/>
    <col min="19" max="19" width="18" customWidth="1"/>
    <col min="20" max="20" width="20" customWidth="1"/>
    <col min="21" max="21" width="16" customWidth="1"/>
    <col min="22" max="22" width="28" customWidth="1"/>
  </cols>
  <sheetData>
    <row r="1" spans="1:22" ht="28" customHeight="1">
      <c r="A1" s="85" t="s">
        <v>712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</row>
    <row r="2" spans="1:2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</row>
    <row r="4" spans="1:22">
      <c r="A4" s="181" t="s">
        <v>709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</row>
    <row r="5" spans="1:22">
      <c r="A5" s="76" t="s">
        <v>0</v>
      </c>
      <c r="B5" s="76" t="s">
        <v>1</v>
      </c>
      <c r="C5" s="76" t="s">
        <v>2</v>
      </c>
      <c r="D5" s="76" t="s">
        <v>3</v>
      </c>
      <c r="E5" s="76" t="s">
        <v>4</v>
      </c>
      <c r="F5" s="76" t="s">
        <v>5</v>
      </c>
      <c r="G5" s="76" t="s">
        <v>6</v>
      </c>
      <c r="H5" s="76" t="s">
        <v>7</v>
      </c>
      <c r="I5" s="76" t="s">
        <v>8</v>
      </c>
      <c r="J5" s="76" t="s">
        <v>9</v>
      </c>
      <c r="K5" s="76" t="s">
        <v>10</v>
      </c>
      <c r="L5" s="76" t="s">
        <v>11</v>
      </c>
      <c r="M5" s="76" t="s">
        <v>12</v>
      </c>
      <c r="N5" s="76" t="s">
        <v>13</v>
      </c>
      <c r="O5" s="76" t="s">
        <v>14</v>
      </c>
      <c r="P5" s="76" t="s">
        <v>15</v>
      </c>
      <c r="Q5" s="76" t="s">
        <v>616</v>
      </c>
      <c r="R5" s="76" t="s">
        <v>619</v>
      </c>
      <c r="S5" s="76" t="s">
        <v>617</v>
      </c>
      <c r="T5" s="76" t="s">
        <v>618</v>
      </c>
      <c r="U5" s="76" t="s">
        <v>676</v>
      </c>
      <c r="V5" s="76" t="s">
        <v>677</v>
      </c>
    </row>
    <row r="6" spans="1:22">
      <c r="A6" s="77" t="str" cm="1">
        <f t="array" ref="A6:V11">_xlfn._xlws.FILTER(OrdersSingleSourceOfTruth[#Data],(OrdersSingleSourceOfTruth[EligibilityStatus]="Eligible")*(OrdersSingleSourceOfTruth[SelectedProduct]="Product C"),"No eligible Product A orders")</f>
        <v>68</v>
      </c>
      <c r="B6" t="str">
        <v>Valid</v>
      </c>
      <c r="C6" t="str">
        <v>Marlene</v>
      </c>
      <c r="D6" t="str">
        <v>Pohl</v>
      </c>
      <c r="E6" t="str">
        <v>marlene.pohl68@example.com</v>
      </c>
      <c r="F6" t="str">
        <v>Gartenstraße</v>
      </c>
      <c r="G6" t="str">
        <v>168</v>
      </c>
      <c r="H6" t="str">
        <v>37073</v>
      </c>
      <c r="I6" t="str">
        <v>Göttingen</v>
      </c>
      <c r="J6" t="str">
        <v>Germany</v>
      </c>
      <c r="K6" t="str">
        <v>Product C</v>
      </c>
      <c r="L6" t="str">
        <v>2026-07-07</v>
      </c>
      <c r="M6" t="str">
        <v>Yes</v>
      </c>
      <c r="N6" t="str">
        <v>55-64</v>
      </c>
      <c r="O6" t="str">
        <v>Female</v>
      </c>
      <c r="P6" t="str">
        <v>Daily</v>
      </c>
      <c r="Q6" t="str">
        <v>Current</v>
      </c>
      <c r="R6" t="str">
        <v>Yes</v>
      </c>
      <c r="S6" t="str">
        <v>No</v>
      </c>
      <c r="T6" t="str">
        <v>No</v>
      </c>
      <c r="U6" t="str">
        <v>Eligible</v>
      </c>
      <c r="V6" t="str">
        <v>Eligible for Fulfillment</v>
      </c>
    </row>
    <row r="7" spans="1:22">
      <c r="A7" t="str">
        <v>73</v>
      </c>
      <c r="B7" t="str">
        <v>Valid</v>
      </c>
      <c r="C7" t="str">
        <v>Lukas</v>
      </c>
      <c r="D7" t="str">
        <v>Bär</v>
      </c>
      <c r="E7" t="str">
        <v>lukas.baer73@example.com</v>
      </c>
      <c r="F7" t="str">
        <v>Bergstraße</v>
      </c>
      <c r="G7" t="str">
        <v>173</v>
      </c>
      <c r="H7" t="str">
        <v>30159</v>
      </c>
      <c r="I7" t="str">
        <v>Hannover</v>
      </c>
      <c r="J7" t="str">
        <v>Germany</v>
      </c>
      <c r="K7" t="str">
        <v>Product C</v>
      </c>
      <c r="L7" t="str">
        <v>2026-07-12</v>
      </c>
      <c r="M7" t="str">
        <v>Yes</v>
      </c>
      <c r="N7" t="str">
        <v>35-44</v>
      </c>
      <c r="O7" t="str">
        <v>Prefer not to say</v>
      </c>
      <c r="P7" t="str">
        <v>Several times per week</v>
      </c>
      <c r="Q7" t="str">
        <v>Current</v>
      </c>
      <c r="R7" t="str">
        <v>Yes</v>
      </c>
      <c r="S7" t="str">
        <v>No</v>
      </c>
      <c r="T7" t="str">
        <v>No</v>
      </c>
      <c r="U7" t="str">
        <v>Eligible</v>
      </c>
      <c r="V7" t="str">
        <v>Eligible for Fulfillment</v>
      </c>
    </row>
    <row r="8" spans="1:22">
      <c r="A8" t="str">
        <v>83</v>
      </c>
      <c r="B8" t="str">
        <v>Valid</v>
      </c>
      <c r="C8" t="str">
        <v>Lukas</v>
      </c>
      <c r="D8" t="str">
        <v>Weiß</v>
      </c>
      <c r="E8" t="str">
        <v>lukas.weiss@example.com</v>
      </c>
      <c r="F8" t="str">
        <v>Goethestrasse</v>
      </c>
      <c r="G8" t="str">
        <v>7</v>
      </c>
      <c r="H8" t="str">
        <v>50667</v>
      </c>
      <c r="I8" t="str">
        <v>Köln</v>
      </c>
      <c r="J8" t="str">
        <v>Germany</v>
      </c>
      <c r="K8" t="str">
        <v>Product C</v>
      </c>
      <c r="L8" t="str">
        <v>2026-09-03</v>
      </c>
      <c r="M8" t="str">
        <v>Yes</v>
      </c>
      <c r="N8" t="str">
        <v>55-64</v>
      </c>
      <c r="O8" t="str">
        <v>Male</v>
      </c>
      <c r="P8" t="str">
        <v>Rarely</v>
      </c>
      <c r="Q8" t="str">
        <v>Current</v>
      </c>
      <c r="R8" t="str">
        <v>Yes</v>
      </c>
      <c r="S8" t="str">
        <v>No</v>
      </c>
      <c r="T8" t="str">
        <v>No</v>
      </c>
      <c r="U8" t="str">
        <v>Eligible</v>
      </c>
      <c r="V8" t="str">
        <v>Eligible for Fulfillment</v>
      </c>
    </row>
    <row r="9" spans="1:22">
      <c r="A9" t="str">
        <v>93</v>
      </c>
      <c r="B9" t="str">
        <v>Valid</v>
      </c>
      <c r="C9" t="str">
        <v>Anna</v>
      </c>
      <c r="D9" t="str">
        <v>Müller</v>
      </c>
      <c r="E9" t="str">
        <v>anna.mueller.current2@example.com</v>
      </c>
      <c r="F9" t="str">
        <v>Parkstraße</v>
      </c>
      <c r="G9" t="str">
        <v>8</v>
      </c>
      <c r="H9" t="str">
        <v>50667</v>
      </c>
      <c r="I9" t="str">
        <v>Köln</v>
      </c>
      <c r="J9" t="str">
        <v>Germany</v>
      </c>
      <c r="K9" t="str">
        <v>Product C</v>
      </c>
      <c r="L9" t="str">
        <v>2026-09-06</v>
      </c>
      <c r="M9" t="str">
        <v>No</v>
      </c>
      <c r="N9">
        <v>0</v>
      </c>
      <c r="O9">
        <v>0</v>
      </c>
      <c r="P9">
        <v>0</v>
      </c>
      <c r="Q9" t="str">
        <v>Current</v>
      </c>
      <c r="R9" t="str">
        <v>Yes</v>
      </c>
      <c r="S9" t="str">
        <v>No</v>
      </c>
      <c r="T9" t="str">
        <v>No</v>
      </c>
      <c r="U9" t="str">
        <v>Eligible</v>
      </c>
      <c r="V9" t="str">
        <v>Eligible for Fulfillment</v>
      </c>
    </row>
    <row r="10" spans="1:22">
      <c r="A10" t="str">
        <v>95</v>
      </c>
      <c r="B10" t="str">
        <v>Valid</v>
      </c>
      <c r="C10" t="str">
        <v>Laura</v>
      </c>
      <c r="D10" t="str">
        <v>Neumann</v>
      </c>
      <c r="E10" t="str">
        <v>laura.neumann@example.com</v>
      </c>
      <c r="F10" t="str">
        <v>Feldstraße</v>
      </c>
      <c r="G10" t="str">
        <v>17</v>
      </c>
      <c r="H10" t="str">
        <v>69117</v>
      </c>
      <c r="I10" t="str">
        <v>Heidelberg</v>
      </c>
      <c r="J10" t="str">
        <v>Germany</v>
      </c>
      <c r="K10" t="str">
        <v>Product C</v>
      </c>
      <c r="L10" t="str">
        <v>2026-09-01</v>
      </c>
      <c r="M10" t="str">
        <v>Yes</v>
      </c>
      <c r="N10" t="str">
        <v>55-64</v>
      </c>
      <c r="O10" t="str">
        <v>Male</v>
      </c>
      <c r="P10" t="str">
        <v>Rarely</v>
      </c>
      <c r="Q10" t="str">
        <v>Current</v>
      </c>
      <c r="R10" t="str">
        <v>Yes</v>
      </c>
      <c r="S10" t="str">
        <v>No</v>
      </c>
      <c r="T10" t="str">
        <v>No</v>
      </c>
      <c r="U10" t="str">
        <v>Eligible</v>
      </c>
      <c r="V10" t="str">
        <v>Eligible for Fulfillment</v>
      </c>
    </row>
    <row r="11" spans="1:22">
      <c r="A11" t="str">
        <v>98</v>
      </c>
      <c r="B11" t="str">
        <v>Valid</v>
      </c>
      <c r="C11" t="str">
        <v>Marlene</v>
      </c>
      <c r="D11" t="str">
        <v>Pohl</v>
      </c>
      <c r="E11" t="str">
        <v>marlene.pohl98@example.com</v>
      </c>
      <c r="F11" t="str">
        <v>Lessingstraße</v>
      </c>
      <c r="G11" t="str">
        <v>198</v>
      </c>
      <c r="H11" t="str">
        <v>40213</v>
      </c>
      <c r="I11" t="str">
        <v>Düsseldorf</v>
      </c>
      <c r="J11" t="str">
        <v>Germany</v>
      </c>
      <c r="K11" t="str">
        <v>Product C</v>
      </c>
      <c r="L11" t="str">
        <v>2026-09-04</v>
      </c>
      <c r="M11" t="str">
        <v>Yes</v>
      </c>
      <c r="N11" t="str">
        <v>55-64</v>
      </c>
      <c r="O11" t="str">
        <v>Diverse</v>
      </c>
      <c r="P11" t="str">
        <v>Occasionally</v>
      </c>
      <c r="Q11" t="str">
        <v>Current</v>
      </c>
      <c r="R11" t="str">
        <v>Yes</v>
      </c>
      <c r="S11" t="str">
        <v>No</v>
      </c>
      <c r="T11" t="str">
        <v>No</v>
      </c>
      <c r="U11" t="str">
        <v>Eligible</v>
      </c>
      <c r="V11" t="str">
        <v>Eligible for Fulfillment</v>
      </c>
    </row>
  </sheetData>
  <autoFilter ref="A5:V5" xr:uid="{00000000-0009-0000-0000-00000C000000}"/>
  <mergeCells count="2">
    <mergeCell ref="A4:V4"/>
    <mergeCell ref="A1:V2"/>
  </mergeCells>
  <pageMargins left="0.75" right="0.75" top="1" bottom="1" header="0.5" footer="0.5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6"/>
  <dimension ref="A1:V10"/>
  <sheetViews>
    <sheetView showGridLines="0" workbookViewId="0">
      <pane ySplit="5" topLeftCell="A6" activePane="bottomLeft" state="frozen"/>
      <selection pane="bottomLeft" activeCell="A7" sqref="A7"/>
    </sheetView>
  </sheetViews>
  <sheetFormatPr baseColWidth="10" defaultColWidth="8.6640625" defaultRowHeight="14"/>
  <cols>
    <col min="1" max="1" width="10" customWidth="1"/>
    <col min="2" max="2" width="17" customWidth="1"/>
    <col min="3" max="3" width="14" customWidth="1"/>
    <col min="4" max="4" width="16" customWidth="1"/>
    <col min="5" max="5" width="27" customWidth="1"/>
    <col min="6" max="6" width="20" customWidth="1"/>
    <col min="7" max="8" width="12" customWidth="1"/>
    <col min="9" max="9" width="16" customWidth="1"/>
    <col min="10" max="10" width="13" customWidth="1"/>
    <col min="11" max="11" width="15" customWidth="1"/>
    <col min="12" max="12" width="14" customWidth="1"/>
    <col min="13" max="13" width="16" customWidth="1"/>
    <col min="14" max="14" width="12" customWidth="1"/>
    <col min="15" max="15" width="16" customWidth="1"/>
    <col min="16" max="16" width="22" customWidth="1"/>
    <col min="17" max="17" width="17" customWidth="1"/>
    <col min="18" max="18" width="15" customWidth="1"/>
    <col min="19" max="19" width="18" customWidth="1"/>
    <col min="20" max="20" width="20" customWidth="1"/>
    <col min="21" max="21" width="16" customWidth="1"/>
    <col min="22" max="22" width="28" customWidth="1"/>
  </cols>
  <sheetData>
    <row r="1" spans="1:22" ht="28" customHeight="1">
      <c r="A1" s="85" t="s">
        <v>713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</row>
    <row r="2" spans="1:2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</row>
    <row r="4" spans="1:22">
      <c r="A4" s="181" t="s">
        <v>709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</row>
    <row r="5" spans="1:22">
      <c r="A5" s="76" t="s">
        <v>0</v>
      </c>
      <c r="B5" s="76" t="s">
        <v>1</v>
      </c>
      <c r="C5" s="76" t="s">
        <v>2</v>
      </c>
      <c r="D5" s="76" t="s">
        <v>3</v>
      </c>
      <c r="E5" s="76" t="s">
        <v>4</v>
      </c>
      <c r="F5" s="76" t="s">
        <v>5</v>
      </c>
      <c r="G5" s="76" t="s">
        <v>6</v>
      </c>
      <c r="H5" s="76" t="s">
        <v>7</v>
      </c>
      <c r="I5" s="76" t="s">
        <v>8</v>
      </c>
      <c r="J5" s="76" t="s">
        <v>9</v>
      </c>
      <c r="K5" s="76" t="s">
        <v>10</v>
      </c>
      <c r="L5" s="76" t="s">
        <v>11</v>
      </c>
      <c r="M5" s="76" t="s">
        <v>12</v>
      </c>
      <c r="N5" s="76" t="s">
        <v>13</v>
      </c>
      <c r="O5" s="76" t="s">
        <v>14</v>
      </c>
      <c r="P5" s="76" t="s">
        <v>15</v>
      </c>
      <c r="Q5" s="76" t="s">
        <v>616</v>
      </c>
      <c r="R5" s="76" t="s">
        <v>619</v>
      </c>
      <c r="S5" s="76" t="s">
        <v>617</v>
      </c>
      <c r="T5" s="76" t="s">
        <v>618</v>
      </c>
      <c r="U5" s="76" t="s">
        <v>676</v>
      </c>
      <c r="V5" s="76" t="s">
        <v>677</v>
      </c>
    </row>
    <row r="6" spans="1:22">
      <c r="A6" s="77" t="str" cm="1">
        <f t="array" ref="A6:V10">_xlfn._xlws.FILTER(OrdersSingleSourceOfTruth[#Data],(OrdersSingleSourceOfTruth[EligibilityStatus]="Eligible")*(OrdersSingleSourceOfTruth[SelectedProduct]="Product D"),"No eligible Product A orders")</f>
        <v>64</v>
      </c>
      <c r="B6" t="str">
        <v>Valid</v>
      </c>
      <c r="C6" t="str">
        <v>Eva</v>
      </c>
      <c r="D6" t="str">
        <v>Schulz</v>
      </c>
      <c r="E6" t="str">
        <v>eva.schulz64@example.com</v>
      </c>
      <c r="F6" t="str">
        <v>Waldstraße</v>
      </c>
      <c r="G6" t="str">
        <v>164</v>
      </c>
      <c r="H6" t="str">
        <v>93047</v>
      </c>
      <c r="I6" t="str">
        <v>Regensburg</v>
      </c>
      <c r="J6" t="str">
        <v>Germany</v>
      </c>
      <c r="K6" t="str">
        <v>Product D</v>
      </c>
      <c r="L6" t="str">
        <v>2026-07-03</v>
      </c>
      <c r="M6" t="str">
        <v>Yes</v>
      </c>
      <c r="N6" t="str">
        <v>35-44</v>
      </c>
      <c r="O6" t="str">
        <v>Female</v>
      </c>
      <c r="P6" t="str">
        <v>Daily</v>
      </c>
      <c r="Q6" t="str">
        <v>Current</v>
      </c>
      <c r="R6" t="str">
        <v>Yes</v>
      </c>
      <c r="S6" t="str">
        <v>No</v>
      </c>
      <c r="T6" t="str">
        <v>No</v>
      </c>
      <c r="U6" t="str">
        <v>Eligible</v>
      </c>
      <c r="V6" t="str">
        <v>Eligible for Fulfillment</v>
      </c>
    </row>
    <row r="7" spans="1:22">
      <c r="A7" t="str">
        <v>69</v>
      </c>
      <c r="B7" t="str">
        <v>Valid</v>
      </c>
      <c r="C7" t="str">
        <v>Mehmet</v>
      </c>
      <c r="D7" t="str">
        <v>Böhm</v>
      </c>
      <c r="E7" t="str">
        <v>mehmet.boehm69@example.com</v>
      </c>
      <c r="F7" t="str">
        <v>Mozartstraße</v>
      </c>
      <c r="G7" t="str">
        <v>169</v>
      </c>
      <c r="H7" t="str">
        <v>70173</v>
      </c>
      <c r="I7" t="str">
        <v>Stuttgart</v>
      </c>
      <c r="J7" t="str">
        <v>Germany</v>
      </c>
      <c r="K7" t="str">
        <v>Product D</v>
      </c>
      <c r="L7" t="str">
        <v>2026-07-08</v>
      </c>
      <c r="M7" t="str">
        <v>No</v>
      </c>
      <c r="N7">
        <v>0</v>
      </c>
      <c r="O7">
        <v>0</v>
      </c>
      <c r="P7">
        <v>0</v>
      </c>
      <c r="Q7" t="str">
        <v>Current</v>
      </c>
      <c r="R7" t="str">
        <v>Yes</v>
      </c>
      <c r="S7" t="str">
        <v>No</v>
      </c>
      <c r="T7" t="str">
        <v>No</v>
      </c>
      <c r="U7" t="str">
        <v>Eligible</v>
      </c>
      <c r="V7" t="str">
        <v>Eligible for Fulfillment</v>
      </c>
    </row>
    <row r="8" spans="1:22">
      <c r="A8" t="str">
        <v>74</v>
      </c>
      <c r="B8" t="str">
        <v>Valid</v>
      </c>
      <c r="C8" t="str">
        <v>Miriam</v>
      </c>
      <c r="D8" t="str">
        <v>Groß</v>
      </c>
      <c r="E8" t="str">
        <v>miriam.gross74@example.com</v>
      </c>
      <c r="F8" t="str">
        <v>Lessingstraße</v>
      </c>
      <c r="G8" t="str">
        <v>174</v>
      </c>
      <c r="H8" t="str">
        <v>40213</v>
      </c>
      <c r="I8" t="str">
        <v>Düsseldorf</v>
      </c>
      <c r="J8" t="str">
        <v>Germany</v>
      </c>
      <c r="K8" t="str">
        <v>Product D</v>
      </c>
      <c r="L8" t="str">
        <v>2026-07-13</v>
      </c>
      <c r="M8" t="str">
        <v>Yes</v>
      </c>
      <c r="N8" t="str">
        <v>55-64</v>
      </c>
      <c r="O8" t="str">
        <v>Diverse</v>
      </c>
      <c r="P8" t="str">
        <v>Occasionally</v>
      </c>
      <c r="Q8" t="str">
        <v>Current</v>
      </c>
      <c r="R8" t="str">
        <v>Yes</v>
      </c>
      <c r="S8" t="str">
        <v>No</v>
      </c>
      <c r="T8" t="str">
        <v>No</v>
      </c>
      <c r="U8" t="str">
        <v>Eligible</v>
      </c>
      <c r="V8" t="str">
        <v>Eligible for Fulfillment</v>
      </c>
    </row>
    <row r="9" spans="1:22">
      <c r="A9" t="str">
        <v>79</v>
      </c>
      <c r="B9" t="str">
        <v>Valid</v>
      </c>
      <c r="C9" t="str">
        <v>Paul</v>
      </c>
      <c r="D9" t="str">
        <v>Seidel</v>
      </c>
      <c r="E9" t="str">
        <v>paul.seidel79@example.com</v>
      </c>
      <c r="F9" t="str">
        <v>Kirchstraße</v>
      </c>
      <c r="G9" t="str">
        <v>179</v>
      </c>
      <c r="H9" t="str">
        <v>69117</v>
      </c>
      <c r="I9" t="str">
        <v>Heidelberg</v>
      </c>
      <c r="J9" t="str">
        <v>Germany</v>
      </c>
      <c r="K9" t="str">
        <v>Product D</v>
      </c>
      <c r="L9" t="str">
        <v>2026-07-18</v>
      </c>
      <c r="M9" t="str">
        <v>Yes</v>
      </c>
      <c r="N9" t="str">
        <v>35-44</v>
      </c>
      <c r="O9" t="str">
        <v>Male</v>
      </c>
      <c r="P9" t="str">
        <v>Rarely</v>
      </c>
      <c r="Q9" t="str">
        <v>Current</v>
      </c>
      <c r="R9" t="str">
        <v>Yes</v>
      </c>
      <c r="S9" t="str">
        <v>No</v>
      </c>
      <c r="T9" t="str">
        <v>No</v>
      </c>
      <c r="U9" t="str">
        <v>Eligible</v>
      </c>
      <c r="V9" t="str">
        <v>Eligible for Fulfillment</v>
      </c>
    </row>
    <row r="10" spans="1:22">
      <c r="A10" t="str">
        <v>89</v>
      </c>
      <c r="B10" t="str">
        <v>Valid</v>
      </c>
      <c r="C10" t="str">
        <v>Mehmet</v>
      </c>
      <c r="D10" t="str">
        <v>Özdemir</v>
      </c>
      <c r="E10" t="str">
        <v>mehmet.oezdemir@example.com</v>
      </c>
      <c r="F10" t="str">
        <v>Bergstrasse</v>
      </c>
      <c r="G10" t="str">
        <v>21</v>
      </c>
      <c r="H10" t="str">
        <v>90402</v>
      </c>
      <c r="I10" t="str">
        <v>Nürnberg</v>
      </c>
      <c r="J10" t="str">
        <v>Germany</v>
      </c>
      <c r="K10" t="str">
        <v>Product D</v>
      </c>
      <c r="L10" t="str">
        <v>2026-09-02</v>
      </c>
      <c r="M10" t="str">
        <v>Yes</v>
      </c>
      <c r="N10" t="str">
        <v>55-64</v>
      </c>
      <c r="O10" t="str">
        <v>Prefer not to say</v>
      </c>
      <c r="P10" t="str">
        <v>Several times per week</v>
      </c>
      <c r="Q10" t="str">
        <v>Current</v>
      </c>
      <c r="R10" t="str">
        <v>Yes</v>
      </c>
      <c r="S10" t="str">
        <v>No</v>
      </c>
      <c r="T10" t="str">
        <v>No</v>
      </c>
      <c r="U10" t="str">
        <v>Eligible</v>
      </c>
      <c r="V10" t="str">
        <v>Eligible for Fulfillment</v>
      </c>
    </row>
  </sheetData>
  <autoFilter ref="A5:V5" xr:uid="{00000000-0009-0000-0000-00000D000000}"/>
  <mergeCells count="2">
    <mergeCell ref="A4:V4"/>
    <mergeCell ref="A1:V2"/>
  </mergeCells>
  <pageMargins left="0.75" right="0.75" top="1" bottom="1" header="0.5" footer="0.5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7"/>
  <dimension ref="A1:V11"/>
  <sheetViews>
    <sheetView showGridLines="0" workbookViewId="0">
      <pane ySplit="5" topLeftCell="A6" activePane="bottomLeft" state="frozen"/>
      <selection pane="bottomLeft" activeCell="A7" sqref="A7"/>
    </sheetView>
  </sheetViews>
  <sheetFormatPr baseColWidth="10" defaultColWidth="8.6640625" defaultRowHeight="14"/>
  <cols>
    <col min="1" max="1" width="10" customWidth="1"/>
    <col min="2" max="2" width="17" customWidth="1"/>
    <col min="3" max="3" width="14" customWidth="1"/>
    <col min="4" max="4" width="16" customWidth="1"/>
    <col min="5" max="5" width="27" customWidth="1"/>
    <col min="6" max="6" width="20" customWidth="1"/>
    <col min="7" max="8" width="12" customWidth="1"/>
    <col min="9" max="9" width="16" customWidth="1"/>
    <col min="10" max="10" width="13" customWidth="1"/>
    <col min="11" max="11" width="15" customWidth="1"/>
    <col min="12" max="12" width="14" customWidth="1"/>
    <col min="13" max="13" width="16" customWidth="1"/>
    <col min="14" max="14" width="12" customWidth="1"/>
    <col min="15" max="15" width="16" customWidth="1"/>
    <col min="16" max="16" width="22" customWidth="1"/>
    <col min="17" max="17" width="17" customWidth="1"/>
    <col min="18" max="18" width="15" customWidth="1"/>
    <col min="19" max="19" width="18" customWidth="1"/>
    <col min="20" max="20" width="20" customWidth="1"/>
    <col min="21" max="21" width="16" customWidth="1"/>
    <col min="22" max="22" width="28" customWidth="1"/>
  </cols>
  <sheetData>
    <row r="1" spans="1:22" ht="28" customHeight="1">
      <c r="A1" s="85" t="s">
        <v>714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</row>
    <row r="2" spans="1:2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</row>
    <row r="4" spans="1:22">
      <c r="A4" s="181" t="s">
        <v>709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</row>
    <row r="5" spans="1:22">
      <c r="A5" s="76" t="s">
        <v>0</v>
      </c>
      <c r="B5" s="76" t="s">
        <v>1</v>
      </c>
      <c r="C5" s="76" t="s">
        <v>2</v>
      </c>
      <c r="D5" s="76" t="s">
        <v>3</v>
      </c>
      <c r="E5" s="76" t="s">
        <v>4</v>
      </c>
      <c r="F5" s="76" t="s">
        <v>5</v>
      </c>
      <c r="G5" s="76" t="s">
        <v>6</v>
      </c>
      <c r="H5" s="76" t="s">
        <v>7</v>
      </c>
      <c r="I5" s="76" t="s">
        <v>8</v>
      </c>
      <c r="J5" s="76" t="s">
        <v>9</v>
      </c>
      <c r="K5" s="76" t="s">
        <v>10</v>
      </c>
      <c r="L5" s="76" t="s">
        <v>11</v>
      </c>
      <c r="M5" s="76" t="s">
        <v>12</v>
      </c>
      <c r="N5" s="76" t="s">
        <v>13</v>
      </c>
      <c r="O5" s="76" t="s">
        <v>14</v>
      </c>
      <c r="P5" s="76" t="s">
        <v>15</v>
      </c>
      <c r="Q5" s="76" t="s">
        <v>616</v>
      </c>
      <c r="R5" s="76" t="s">
        <v>619</v>
      </c>
      <c r="S5" s="76" t="s">
        <v>617</v>
      </c>
      <c r="T5" s="76" t="s">
        <v>618</v>
      </c>
      <c r="U5" s="76" t="s">
        <v>676</v>
      </c>
      <c r="V5" s="76" t="s">
        <v>677</v>
      </c>
    </row>
    <row r="6" spans="1:22">
      <c r="A6" s="77" t="str" cm="1">
        <f t="array" ref="A6:V11">_xlfn._xlws.FILTER(OrdersSingleSourceOfTruth[#Data],(OrdersSingleSourceOfTruth[EligibilityStatus]="Eligible")*(OrdersSingleSourceOfTruth[SelectedProduct]="Product E"),"No eligible Product A orders")</f>
        <v>60</v>
      </c>
      <c r="B6" t="str">
        <v>Valid</v>
      </c>
      <c r="C6" t="str">
        <v>Anna</v>
      </c>
      <c r="D6" t="str">
        <v>Müller</v>
      </c>
      <c r="E6" t="str">
        <v>anna.mueller60@example.com</v>
      </c>
      <c r="F6" t="str">
        <v>Sonnenstraße</v>
      </c>
      <c r="G6" t="str">
        <v>160</v>
      </c>
      <c r="H6" t="str">
        <v>28195</v>
      </c>
      <c r="I6" t="str">
        <v>Bremen</v>
      </c>
      <c r="J6" t="str">
        <v>Germany</v>
      </c>
      <c r="K6" t="str">
        <v>Product E</v>
      </c>
      <c r="L6" t="str">
        <v>2026-06-29</v>
      </c>
      <c r="M6" t="str">
        <v>No</v>
      </c>
      <c r="N6">
        <v>0</v>
      </c>
      <c r="O6">
        <v>0</v>
      </c>
      <c r="P6">
        <v>0</v>
      </c>
      <c r="Q6" t="str">
        <v>Current</v>
      </c>
      <c r="R6" t="str">
        <v>Yes</v>
      </c>
      <c r="S6" t="str">
        <v>No</v>
      </c>
      <c r="T6" t="str">
        <v>No</v>
      </c>
      <c r="U6" t="str">
        <v>Eligible</v>
      </c>
      <c r="V6" t="str">
        <v>Eligible for Fulfillment</v>
      </c>
    </row>
    <row r="7" spans="1:22">
      <c r="A7" t="str">
        <v>70</v>
      </c>
      <c r="B7" t="str">
        <v>Valid</v>
      </c>
      <c r="C7" t="str">
        <v>Lea</v>
      </c>
      <c r="D7" t="str">
        <v>Schäfer</v>
      </c>
      <c r="E7" t="str">
        <v>lea.schaefer70@example.com</v>
      </c>
      <c r="F7" t="str">
        <v>Dorfstraße</v>
      </c>
      <c r="G7" t="str">
        <v>170</v>
      </c>
      <c r="H7" t="str">
        <v>90762</v>
      </c>
      <c r="I7" t="str">
        <v>Fürth</v>
      </c>
      <c r="J7" t="str">
        <v>Germany</v>
      </c>
      <c r="K7" t="str">
        <v>Product E</v>
      </c>
      <c r="L7" t="str">
        <v>2026-07-09</v>
      </c>
      <c r="M7" t="str">
        <v>Yes</v>
      </c>
      <c r="N7" t="str">
        <v>35-44</v>
      </c>
      <c r="O7" t="str">
        <v>Diverse</v>
      </c>
      <c r="P7" t="str">
        <v>Occasionally</v>
      </c>
      <c r="Q7" t="str">
        <v>Current</v>
      </c>
      <c r="R7" t="str">
        <v>Yes</v>
      </c>
      <c r="S7" t="str">
        <v>No</v>
      </c>
      <c r="T7" t="str">
        <v>No</v>
      </c>
      <c r="U7" t="str">
        <v>Eligible</v>
      </c>
      <c r="V7" t="str">
        <v>Eligible for Fulfillment</v>
      </c>
    </row>
    <row r="8" spans="1:22">
      <c r="A8" t="str">
        <v>75</v>
      </c>
      <c r="B8" t="str">
        <v>Valid</v>
      </c>
      <c r="C8" t="str">
        <v>Emil</v>
      </c>
      <c r="D8" t="str">
        <v>Krämer</v>
      </c>
      <c r="E8" t="str">
        <v>emil.kraemer75@example.com</v>
      </c>
      <c r="F8" t="str">
        <v>Seestraße</v>
      </c>
      <c r="G8" t="str">
        <v>175</v>
      </c>
      <c r="H8" t="str">
        <v>79098</v>
      </c>
      <c r="I8" t="str">
        <v>Freiburg</v>
      </c>
      <c r="J8" t="str">
        <v>Germany</v>
      </c>
      <c r="K8" t="str">
        <v>Product E</v>
      </c>
      <c r="L8" t="str">
        <v>2026-07-14</v>
      </c>
      <c r="M8" t="str">
        <v>No</v>
      </c>
      <c r="N8">
        <v>0</v>
      </c>
      <c r="O8">
        <v>0</v>
      </c>
      <c r="P8">
        <v>0</v>
      </c>
      <c r="Q8" t="str">
        <v>Current</v>
      </c>
      <c r="R8" t="str">
        <v>Yes</v>
      </c>
      <c r="S8" t="str">
        <v>No</v>
      </c>
      <c r="T8" t="str">
        <v>No</v>
      </c>
      <c r="U8" t="str">
        <v>Eligible</v>
      </c>
      <c r="V8" t="str">
        <v>Eligible for Fulfillment</v>
      </c>
    </row>
    <row r="9" spans="1:22">
      <c r="A9" t="str">
        <v>80</v>
      </c>
      <c r="B9" t="str">
        <v>Valid</v>
      </c>
      <c r="C9" t="str">
        <v>Julia</v>
      </c>
      <c r="D9" t="str">
        <v>Fischer</v>
      </c>
      <c r="E9" t="str">
        <v>julia.fischer80@example.com</v>
      </c>
      <c r="F9" t="str">
        <v>Birkenstraße</v>
      </c>
      <c r="G9" t="str">
        <v>180</v>
      </c>
      <c r="H9" t="str">
        <v>01067</v>
      </c>
      <c r="I9" t="str">
        <v>Dresden</v>
      </c>
      <c r="J9" t="str">
        <v>Germany</v>
      </c>
      <c r="K9" t="str">
        <v>Product E</v>
      </c>
      <c r="L9" t="str">
        <v>2026-08-31</v>
      </c>
      <c r="M9" t="str">
        <v>Yes</v>
      </c>
      <c r="N9" t="str">
        <v>55-64</v>
      </c>
      <c r="O9" t="str">
        <v>Female</v>
      </c>
      <c r="P9" t="str">
        <v>Daily</v>
      </c>
      <c r="Q9" t="str">
        <v>Current</v>
      </c>
      <c r="R9" t="str">
        <v>Yes</v>
      </c>
      <c r="S9" t="str">
        <v>No</v>
      </c>
      <c r="T9" t="str">
        <v>No</v>
      </c>
      <c r="U9" t="str">
        <v>Eligible</v>
      </c>
      <c r="V9" t="str">
        <v>Eligible for Fulfillment</v>
      </c>
    </row>
    <row r="10" spans="1:22">
      <c r="A10" t="str">
        <v>90</v>
      </c>
      <c r="B10" t="str">
        <v>Valid</v>
      </c>
      <c r="C10" t="str">
        <v>Anna</v>
      </c>
      <c r="D10" t="str">
        <v>Müller</v>
      </c>
      <c r="E10" t="str">
        <v>anna.mueller90@example.com</v>
      </c>
      <c r="F10" t="str">
        <v>Parkstraße</v>
      </c>
      <c r="G10" t="str">
        <v>190</v>
      </c>
      <c r="H10" t="str">
        <v>14467</v>
      </c>
      <c r="I10" t="str">
        <v>Potsdam</v>
      </c>
      <c r="J10" t="str">
        <v>Germany</v>
      </c>
      <c r="K10" t="str">
        <v>Product E</v>
      </c>
      <c r="L10" t="str">
        <v>2026-09-03</v>
      </c>
      <c r="M10" t="str">
        <v>No</v>
      </c>
      <c r="N10">
        <v>0</v>
      </c>
      <c r="O10">
        <v>0</v>
      </c>
      <c r="P10">
        <v>0</v>
      </c>
      <c r="Q10" t="str">
        <v>Current</v>
      </c>
      <c r="R10" t="str">
        <v>Yes</v>
      </c>
      <c r="S10" t="str">
        <v>No</v>
      </c>
      <c r="T10" t="str">
        <v>No</v>
      </c>
      <c r="U10" t="str">
        <v>Eligible</v>
      </c>
      <c r="V10" t="str">
        <v>Eligible for Fulfillment</v>
      </c>
    </row>
    <row r="11" spans="1:22">
      <c r="A11" t="str">
        <v>99</v>
      </c>
      <c r="B11" t="str">
        <v>Valid</v>
      </c>
      <c r="C11" t="str">
        <v>Markus</v>
      </c>
      <c r="D11" t="str">
        <v>Keller</v>
      </c>
      <c r="E11" t="str">
        <v>markus.keller@example.com</v>
      </c>
      <c r="F11" t="str">
        <v>Parkstraße</v>
      </c>
      <c r="G11" t="str">
        <v>10</v>
      </c>
      <c r="H11" t="str">
        <v>53111</v>
      </c>
      <c r="I11" t="str">
        <v>Bonn</v>
      </c>
      <c r="J11" t="str">
        <v>Germany</v>
      </c>
      <c r="K11" t="str">
        <v>Product E</v>
      </c>
      <c r="L11" t="str">
        <v>2026-09-05</v>
      </c>
      <c r="M11" t="str">
        <v>No</v>
      </c>
      <c r="N11">
        <v>0</v>
      </c>
      <c r="O11">
        <v>0</v>
      </c>
      <c r="P11">
        <v>0</v>
      </c>
      <c r="Q11" t="str">
        <v>Current</v>
      </c>
      <c r="R11" t="str">
        <v>Yes</v>
      </c>
      <c r="S11" t="str">
        <v>No</v>
      </c>
      <c r="T11" t="str">
        <v>No</v>
      </c>
      <c r="U11" t="str">
        <v>Eligible</v>
      </c>
      <c r="V11" t="str">
        <v>Eligible for Fulfillment</v>
      </c>
    </row>
  </sheetData>
  <autoFilter ref="A5:V5" xr:uid="{00000000-0009-0000-0000-00000E000000}"/>
  <mergeCells count="2">
    <mergeCell ref="A4:V4"/>
    <mergeCell ref="A1:V2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Project Overview</vt:lpstr>
      <vt:lpstr>Extract – Control Panel</vt:lpstr>
      <vt:lpstr>Extract – Imported Raw Data</vt:lpstr>
      <vt:lpstr>Extract-Raw Data Overview</vt:lpstr>
      <vt:lpstr>Transform Encoding – Contr. Pa.</vt:lpstr>
      <vt:lpstr>Transform Encoding Repaired</vt:lpstr>
      <vt:lpstr>Transform – Business Rules</vt:lpstr>
      <vt:lpstr>Transform – SingleSourceTruth</vt:lpstr>
      <vt:lpstr>Summary</vt:lpstr>
      <vt:lpstr>Load</vt:lpstr>
      <vt:lpstr>Project Findings</vt:lpstr>
      <vt:lpstr>Load – Fulfillment Orders</vt:lpstr>
      <vt:lpstr>Load – Product A</vt:lpstr>
      <vt:lpstr>Load – Product B</vt:lpstr>
      <vt:lpstr>Load – Product C</vt:lpstr>
      <vt:lpstr>Load – Product D</vt:lpstr>
      <vt:lpstr>Load – Product 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Startklar</dc:creator>
  <cp:lastModifiedBy>Eleni Symeonidou</cp:lastModifiedBy>
  <dcterms:created xsi:type="dcterms:W3CDTF">2026-09-01T20:41:02Z</dcterms:created>
  <dcterms:modified xsi:type="dcterms:W3CDTF">2026-09-06T21:33:16Z</dcterms:modified>
</cp:coreProperties>
</file>